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ttons 200" state="visible" r:id="rId4"/>
    <sheet sheetId="2" name="Summary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<sst xmlns="http://schemas.openxmlformats.org/spreadsheetml/2006/main" count="1560" uniqueCount="690">
  <si>
    <t>#</t>
  </si>
  <si>
    <t>Site Name</t>
  </si>
  <si>
    <t>URL</t>
  </si>
  <si>
    <t>Button Concept</t>
  </si>
  <si>
    <t>Category</t>
  </si>
  <si>
    <t>Tier</t>
  </si>
  <si>
    <t>Source Stream</t>
  </si>
  <si>
    <t>Notes</t>
  </si>
  <si>
    <t>Verify?</t>
  </si>
  <si>
    <t>Bruno Simon — personal site</t>
  </si>
  <si>
    <t>Tiny 3D-rendered arrow buttons that sit on a giant 3D world map; clicking drives a tiny car to the section, the button itself is a 3D mesh on the floor with a soft pointer-aware hover scale and a click-bounce via cannon-es physics.</t>
  </si>
  <si>
    <t>cursor-driven</t>
  </si>
  <si>
    <t>S</t>
  </si>
  <si>
    <t>Indie / WebGL</t>
  </si>
  <si>
    <t>The drive-to-button is the signature interaction; the buttons are diegetic objects inside the WebGL scene.</t>
  </si>
  <si>
    <t/>
  </si>
  <si>
    <t>Cron (Notion Calendar)</t>
  </si>
  <si>
    <t>Magnetic 'Try Cron free' with a custom cursor (small black dot) that snaps to the button center on hover and the button itself warps slightly toward the cursor with a perspective tilt.</t>
  </si>
  <si>
    <t>SaaS / Dev Tool</t>
  </si>
  <si>
    <t>Homepage — Cron was the original custom-cursor SaaS site.</t>
  </si>
  <si>
    <t>Cursor</t>
  </si>
  <si>
    <t>Cursor-driven 'Download for [OS]' with a custom circular cursor that grows from 8px to 40px on hover and fills with brand color behind the button label.</t>
  </si>
  <si>
    <t>Hero — Cursor's site is the modern custom-cursor reference.</t>
  </si>
  <si>
    <t>M+ Hong Kong</t>
  </si>
  <si>
    <t>'Plan your visit' CTA uses a custom cursor that morphs from a tiny dot into a ring (30px) when over the button, with a 1px stroke label tracking inside it.</t>
  </si>
  <si>
    <t>Editorial / Brand</t>
  </si>
  <si>
    <t>Visitor info; one of the cleanest custom-cursor implementations on a museum site.</t>
  </si>
  <si>
    <t>Manoella Buffara portfolio</t>
  </si>
  <si>
    <t>Custom cursor that morphs into a circular magnetic mask on hover of any link, revealing inverted-color text via mix-blend-mode difference while a small underline wipes from the cursor's leading edge.</t>
  </si>
  <si>
    <t>The cursor-as-mask is the entire navigation language; study the menu and project tiles.</t>
  </si>
  <si>
    <t>Soda Studio</t>
  </si>
  <si>
    <t>Cursor-driven distorted text: the label renders into a 2D canvas mesh that bulges toward the cursor with a Gaussian falloff, then springs back</t>
  </si>
  <si>
    <t>Agency / Portfolio</t>
  </si>
  <si>
    <t>Homepage hero CTA on wearesoda.com</t>
  </si>
  <si>
    <t>Studio Schicker</t>
  </si>
  <si>
    <t>Custom-cursor button: a hardware-style disk cursor grows from a 6px dot to a 90px ring with the button label inside, snapping onto the hit target</t>
  </si>
  <si>
    <t>Whole-site custom cursor, button labels are read inside the cursor</t>
  </si>
  <si>
    <t>Bottega Veneta</t>
  </si>
  <si>
    <t>Product CTA uses a woven-intrecciato pattern button where the 3D weave texture subtly deforms with mouse movement (parallax on a 12-cell texture mask).</t>
  </si>
  <si>
    <t>A</t>
  </si>
  <si>
    <t>Hero product tiles.</t>
  </si>
  <si>
    <t>Hugo Lin — creative dev portfolio</t>
  </si>
  <si>
    <t>Project thumbnails whose CTA is a custom 3D cursor-glyph that warps a vertex-shader displacement field around the tile on hover.</t>
  </si>
  <si>
    <t>Project index; the tile itself is the button.</t>
  </si>
  <si>
    <t>Resn — experimental creative studio</t>
  </si>
  <si>
    <t>Playful custom-cursor buttons that grow 3D-rendered emoji heads on hover; the head tracks the pointer with a damped spring and squashes on click.</t>
  </si>
  <si>
    <t>Their case study pages, especially the long-running 'Happy Place' experiments.</t>
  </si>
  <si>
    <t>awwwards — SOTD indie nominees hover list</t>
  </si>
  <si>
    <t>Tag-filtered collection of award-winning sites whose primary CTAs use a custom pointer-mask with a soft inner shadow; this URL is the canonical 'where to look' index, not a single button.</t>
  </si>
  <si>
    <t>B</t>
  </si>
  <si>
    <t>Use as a research index, not a single design.</t>
  </si>
  <si>
    <t>Balmain — Web3 / NFT drops</t>
  </si>
  <si>
    <t>Tall monogram 'B' CTAs that rotate on the Y axis following cursor X with a parallax depth map of the runway image behind them.</t>
  </si>
  <si>
    <t>Pre-launch mint pages 2022-2023.</t>
  </si>
  <si>
    <t>VERIFY</t>
  </si>
  <si>
    <t>Lunatiki</t>
  </si>
  <si>
    <t>Cursor-driven text-marquee CTA: hovering the label starts a horizontal scroll of the label inside the button and the button's hit area tracks the leading edge</t>
  </si>
  <si>
    <t>Project index CTAs</t>
  </si>
  <si>
    <t>Giant Ant</t>
  </si>
  <si>
    <t>Ant-trail CTA: a tiny SVG ant sprite walks the perimeter of the button on hover, leaving a 1px dotted trail that becomes the button border on completion</t>
  </si>
  <si>
    <t>custom-shape</t>
  </si>
  <si>
    <t>Signature Giant Ant interactive button on giantant.ca</t>
  </si>
  <si>
    <t>Loewe TV (LFT)</t>
  </si>
  <si>
    <t>Custom-shape video CTA: each play button is a hand-drawn vector shape unique per project, drawn-on hover with a 0.4s stroke-dashoffset reveal</t>
  </si>
  <si>
    <t>Reel entries on loewe.tv</t>
  </si>
  <si>
    <t>MacGuffin Magazine</t>
  </si>
  <si>
    <t>Each issue has a unique hand-drawn object icon button (chair, bathtub, lantern) that doubles as the issue CTA; hover rotates the icon 90deg on Z and labels it 'Issue No. 12' in a soft typewriter face.</t>
  </si>
  <si>
    <t>Library grid; one of the most distinctive issue-navigation patterns in indie publishing.</t>
  </si>
  <si>
    <t>Maison Margiela</t>
  </si>
  <si>
    <t>Numeric tag buttons (line 1-13) are styled as actual white fabric labels with a stitched border; hover applies a 1deg CSS skew and adds a single faux-stitch SVG drawn top-down.</t>
  </si>
  <si>
    <t>Line/Collection navigation; the stitching animation is a Margiela signature.</t>
  </si>
  <si>
    <t>Raycast</t>
  </si>
  <si>
    <t>Keyboard-chord 'Get Raycast ⌘Space' button where the ⌘+Space key glyphs pop in with a springy scale, and on hover the keys depress 2px as if pressed.</t>
  </si>
  <si>
    <t>Hero CTA — iconic developer-tool button.</t>
  </si>
  <si>
    <t>Resn — Sub-brand Microsite</t>
  </si>
  <si>
    <t>Custom-shape glyph CTA: each project entry's button is shaped like the project logo's outer contour and uses the same color palette, hit-tested along the path</t>
  </si>
  <si>
    <t>Resn's recurring 'every CTA is the project logo' pattern</t>
  </si>
  <si>
    <t>Sound.xyz — music NFTs</t>
  </si>
  <si>
    <t>Play CTAs rendered as a 3D-rendered vinyl disc in a thin bezel; hover spins up the disc to 33⅓ RPM with a subtle wobble, click drops the needle and begins playback.</t>
  </si>
  <si>
    <t>Track player CTA on artist and song pages.</t>
  </si>
  <si>
    <t>Supergiant Games — Hades II site</t>
  </si>
  <si>
    <t>Stylized Greek-urn CTAs with a torch-flame particle FX rim; hover ignites a stronger flame and a small ember-burst on click, all rendered in 2.5D parallax SVG.</t>
  </si>
  <si>
    <t>Hero 'Wishlist' and 'Play' CTAs.</t>
  </si>
  <si>
    <t>Tool of North America</t>
  </si>
  <si>
    <t>Cinema-grade oversized play button: a black circular plate scales with mouse velocity and reveals reel-count metadata on the rim</t>
  </si>
  <si>
    <t>Reel opener on toolofna.com</t>
  </si>
  <si>
    <t>Caustic — creative studio</t>
  </si>
  <si>
    <t>Project tile CTAs that look like physical 35mm film leader, with a sprocket-hole scroll on hover and a brief light-leak flash on click.</t>
  </si>
  <si>
    <t>Project grid hover state.</t>
  </si>
  <si>
    <t>Centre Pompidou</t>
  </si>
  <si>
    <t>Navigation menu trigger is a 6x6 grid of primary-color squares (after Mondrian/Bauhaus homage) where each cell becomes a separate nav destination on hover with a staggered 30ms color pop.</t>
  </si>
  <si>
    <t>Header menu; very on-brand for Pompidou.</t>
  </si>
  <si>
    <t>Clonex — RTFKT avatar site</t>
  </si>
  <si>
    <t>Glassy 3D capsule CTAs that float above the avatar, casting a real-time ground shadow that follows the pointer; hover tilts the capsule toward the cursor with cubic-bezier overshoot.</t>
  </si>
  <si>
    <t>Hero and trait-selector CTAs.</t>
  </si>
  <si>
    <t>ElevenLabs</t>
  </si>
  <si>
    <t>Custom-shape 'Start free' with rounded sides and a tiny animated waveform that pulses behind the label in sync with a hover sound preview.</t>
  </si>
  <si>
    <t>Hero; the audio-reactive waveform is signature.</t>
  </si>
  <si>
    <t>Pentagram — partner sites</t>
  </si>
  <si>
    <t>Partner profile pages where each partner's name is the entire CTA — clicking expands a fullscreen split-pane with a custom-mitred chevron that animates in from the page edge.</t>
  </si>
  <si>
    <t>The grid of partners is itself a button system; hover reveals the role in a wipe.</t>
  </si>
  <si>
    <t>Sons of Sam</t>
  </si>
  <si>
    <t>Custom-shape organic button: each CTA is a freeform bezier path unique per page, and the path subtly inflates on hover as if breathing</t>
  </si>
  <si>
    <t>Project-page CTAs</t>
  </si>
  <si>
    <t>The Believer</t>
  </si>
  <si>
    <t>Subscribe button is a literal stamped-typography rectangle (rubber-stamp aesthetic) that adds a 2deg rotation and a faint red 'PAID' stamp overlay on hover.</t>
  </si>
  <si>
    <t>Subscription landing.</t>
  </si>
  <si>
    <t>Jagex — RuneScape site</t>
  </si>
  <si>
    <t>Medieval runic CTAs that animate as if being carved with a chisel on hover, with stone-dust particles falling from the bottom edge and a metallic gleam sweep on click.</t>
  </si>
  <si>
    <t>Hero CTA on RuneScape / Old School sites.</t>
  </si>
  <si>
    <t>Stripe Atlas</t>
  </si>
  <si>
    <t>Custom-shape 'Start your company' with a long pill and a tiny country-flag dot that fades in next to the label on hover, hinting at international setup.</t>
  </si>
  <si>
    <t>Atlas-specific; the flag dot is on-brand for incorporation.</t>
  </si>
  <si>
    <t>Uniswap</t>
  </si>
  <si>
    <t>Custom-shape 'Swap' with a square geometry and a tiny unicorn-pink chevron that bounces on hover, paired with a subtle inner-glow that pulses.</t>
  </si>
  <si>
    <t>In-app swap UI; cited for the brand-specific color choice.</t>
  </si>
  <si>
    <t>032c</t>
  </si>
  <si>
    <t>Shop CTA 'Add to bag' is rendered in red 032c-redaktur grotesk; on hover, the entire label translates up 4px and a black bar wipes in from the bottom edge with a hard 100ms snap (no easing).</t>
  </si>
  <si>
    <t>fill-wipe</t>
  </si>
  <si>
    <t>Product detail page.</t>
  </si>
  <si>
    <t>Apartamento</t>
  </si>
  <si>
    <t>Add-to-cart / issue-subscribe button is a 1px outlined rectangle where hovering injects a thin horizontal red line that wipes left-to-right while the label slides in from -100%.</t>
  </si>
  <si>
    <t>Shop page issue tiles.</t>
  </si>
  <si>
    <t>Block &amp; Tackle</t>
  </si>
  <si>
    <t>Stripe-reveal CTA: horizontal bars wipe in from top and bottom to sandwich the label, with the label color inverting on completion</t>
  </si>
  <si>
    <t>Work-page CTAs</t>
  </si>
  <si>
    <t>Foundation.app</t>
  </si>
  <si>
    <t>Bid/Buy CTAs with a horizontal line that fills in the brand magenta from left on hover, with a small caret that travels along the line; click sends a brief pulse of magenta to the top of the screen.</t>
  </si>
  <si>
    <t>NFT detail page buy flow.</t>
  </si>
  <si>
    <t>kadenwood — Web3 launch CTAs</t>
  </si>
  <si>
    <t>Gasless 'Mint' CTAs with a thin top-progress bar that animates left-to-right with a tri-color gradient, snapping to a confetti pixel-burst on confirmation.</t>
  </si>
  <si>
    <t>Mint flow primary buttons; included separately from the earlier Kadenwood entry because the mint flow version is the most distinctive.</t>
  </si>
  <si>
    <t>Kadenwood — Web3 studio</t>
  </si>
  <si>
    <t>Mint CTAs with a horizontal 'fuel gauge' that fills from left to right on hover, snapping to 100% with a haptic-feel spring and a 3D coin-burst on click.</t>
  </si>
  <si>
    <t>On chain mint/launch flow buttons.</t>
  </si>
  <si>
    <t>Saint Laurent</t>
  </si>
  <si>
    <t>Add-to-bag button is a full-bleed black rectangle with white 'ADD TO BAG' in 10px Helvetica; hover inverts to white background with black text via a horizontal 60ms wipe — feels like a flashbulb.</t>
  </si>
  <si>
    <t>All PDPs; extremely on-brand YSL severity.</t>
  </si>
  <si>
    <t>Stripe</t>
  </si>
  <si>
    <t>Gradient mesh-fill 'Start now' pill whose conic-gradient hue rotates continuously behind the label and intensifies on hover, paired with a chevron that shifts forward 6px.</t>
  </si>
  <si>
    <t>Homepage and Atlas/Climate pages; the rotating conic background is signature.</t>
  </si>
  <si>
    <t>Causal</t>
  </si>
  <si>
    <t>Fill-wipe 'Try free' with a diagonal gradient that sweeps from bottom-left to top-right on hover while the label inverts from black to white.</t>
  </si>
  <si>
    <t>Hero CTA.</t>
  </si>
  <si>
    <t>COS</t>
  </si>
  <si>
    <t>'Add to bag' uses a 1px outline that fills with a 1.2s slow horizontal gradient wipe (off-white to black) while the label crossfades from black to white on a 50% timeline offset.</t>
  </si>
  <si>
    <t>PDPs.</t>
  </si>
  <si>
    <t>Manual Ink</t>
  </si>
  <si>
    <t>Brushstroke fill-wipe CTA: a hand-painted SVG stroke wipes across the label on hover, inverting the label color as it passes</t>
  </si>
  <si>
    <t>Studio site CTAs on manual.ink</t>
  </si>
  <si>
    <t>Mirazur</t>
  </si>
  <si>
    <t>Reservation button is a 1px outline that on hover fills with a 2s slow vertical wipe in a deep blue sampled from the Mediterranean's RGB, while the label shifts 1px down for a printed-press feel.</t>
  </si>
  <si>
    <t>Reservation page.</t>
  </si>
  <si>
    <t>Mood Studio</t>
  </si>
  <si>
    <t>Fill-wipe button: a horizontal bar of brand color wipes in from left to right under a 1px outline, while the label letter-spacing opens +0.04em</t>
  </si>
  <si>
    <t>Work-index CTAs</t>
  </si>
  <si>
    <t>Rainbow (wallet)</t>
  </si>
  <si>
    <t>Fill-wipe 'Get Rainbow' with a 7-color gradient that wipes diagonally on hover, paired with a tiny floating emoji (🌈) that scales and rotates.</t>
  </si>
  <si>
    <t>Homepage; on-brand without being generic.</t>
  </si>
  <si>
    <t>B-Reel</t>
  </si>
  <si>
    <t>Split-flap display CTA: a 7-segment glyph grid cycles through glyphs on hover and settles on a final letter with a synchronized mechanical tick sound (muted by default)</t>
  </si>
  <si>
    <t>glitch</t>
  </si>
  <si>
    <t>Featured on the b-reel.com homepage</t>
  </si>
  <si>
    <t>Basement Studio</t>
  </si>
  <si>
    <t>Glitch-decode CTA: the label renders as overlapping RGB-shifted layers that converge on hover while a horizontal-scanline mask wipes through</t>
  </si>
  <si>
    <t>basement.studio homepage primary CTAs</t>
  </si>
  <si>
    <t>Dinamo</t>
  </si>
  <si>
    <t>Download specimen button is a 0.5x pixel-font '↓' that, on hover, animates a 16-frame bitmap-pixel-glitch across its glyphs (RGB split) for 400ms before resolving.</t>
  </si>
  <si>
    <t>Typeface detail page; the glitch is the brand.</t>
  </si>
  <si>
    <t>Attic Studio</t>
  </si>
  <si>
    <t>Glitch hover CTA: each character of the label independently jitters 1-3px on hover for 200ms before settling; the underline simultaneously scans a single horizontal line</t>
  </si>
  <si>
    <t>Case-study entries on attic.studio</t>
  </si>
  <si>
    <t>Auralee</t>
  </si>
  <si>
    <t>Item CTA 'カートに入れる' (Add to Cart) is set in a wide-spaced Japanese gothic; on hover, each character animates a 4px vertical jitter (random seed per hover) for ~200ms then settles.</t>
  </si>
  <si>
    <t>PDPs; subtle but distinctive.</t>
  </si>
  <si>
    <t>CD Projekt Red — Phantom Liberty / CP2077</t>
  </si>
  <si>
    <t>Cyberpunk 'Night City' styled CTAs with a glitch-decoder text scramble on hover and a yellow/black hazard-stripe border that crawls on focus.</t>
  </si>
  <si>
    <t>Pre-order and 'Watch trailer' CTAs.</t>
  </si>
  <si>
    <t>Codrops — hover/click effect collection 2023</t>
  </si>
  <si>
    <t>Curated hover-roundup featuring the 'Distorted link effects' demos where label text smears along the pointer's path using SVG turbulence on hover.</t>
  </si>
  <si>
    <t>Specific Codrops demo: distorted link effects with SVG filters.</t>
  </si>
  <si>
    <t>Dunderville</t>
  </si>
  <si>
    <t>Glitch-scan CTA: an analog-NTSC scanline overlay scrolls over the label on hover, with chromatic aberration that intensifies for 0.3s then resets</t>
  </si>
  <si>
    <t>Reel CTA on dunderville.com</t>
  </si>
  <si>
    <t>fxhash — generative art platform</t>
  </si>
  <si>
    <t>Small monochrome 'Mint' labels that on hover expand a glitch-decoder text scramble and reveal the price in 800-weight grotesque, then on click morph into a progress bar driving the on-chain mint tx.</t>
  </si>
  <si>
    <t>Generative token grid.</t>
  </si>
  <si>
    <t>Loom</t>
  </si>
  <si>
    <t>Glitch 'Try Loom' where the label briefly splits into cyan/magenta RGB channels on hover and snaps back on mouseleave, with a 2px scanline overlay sliding downward.</t>
  </si>
  <si>
    <t>Top nav; tasteful, not noisy.</t>
  </si>
  <si>
    <t>Panic — software studio (Nova, Coda, Transmit)</t>
  </si>
  <si>
    <t>Chunky pixel-style 'Buy' CTAs that render a 1-frame retro CRT power-on flicker on hover, with horizontal hold-roll and a chromatic-aberration flash on click.</t>
  </si>
  <si>
    <t>Product page buy CTAs.</t>
  </si>
  <si>
    <t>Perplexity</t>
  </si>
  <si>
    <t>Glitch 'Try Pro' where the label briefly shows three layered offset copies that snap to single on click, with a 1px scanline mask that animates downward continuously.</t>
  </si>
  <si>
    <t>Homepage header.</t>
  </si>
  <si>
    <t>Plau</t>
  </si>
  <si>
    <t>Activate font button is a small 'Aa' that on hover enters a 200ms flicker between 3 random cuts of the typeface family (Light, Regular, Bold), settling on the selected weight.</t>
  </si>
  <si>
    <t>Type tester; the flicker-cut is a Plau signature.</t>
  </si>
  <si>
    <t>Runway</t>
  </si>
  <si>
    <t>Glitch 'Try Runway' with a chromatic-aberration split that increases on hover and resolves on click into a clean fill, paired with a subtle film-grain overlay.</t>
  </si>
  <si>
    <t>Hero; chromatic aberration is on-brand for a video AI.</t>
  </si>
  <si>
    <t>Sennep</t>
  </si>
  <si>
    <t>Tap-to-glitch CTA: pressing the label scrambles the glyphs through a 12-frame noise pattern before resolving to a deeper-page anchor word</t>
  </si>
  <si>
    <t>Project index CTAs on sennep.com</t>
  </si>
  <si>
    <t>Letterform</t>
  </si>
  <si>
    <t>Archive filter buttons are tiny 11px monospaced labels; on hover, each character animates a 2px random x-jitter (deterministic per glyph) creating a 'ticker-tape' feel.</t>
  </si>
  <si>
    <t>Archive sidebar.</t>
  </si>
  <si>
    <t>Linear (Settings)</t>
  </si>
  <si>
    <t>Glitch-style 'Confirm' inside modals where the button briefly shows a corrupted text glyph that resolves cleanly, reinforcing the 'system command' feel.</t>
  </si>
  <si>
    <t>In-app, not homepage, but cited in motion-design circles.</t>
  </si>
  <si>
    <t>mrdoob — three.js creator site</t>
  </si>
  <si>
    <t>Barely-visible ASCII-art brackets that act as nav; hovering extends the bracket into a full width and reveals the label as monospace glyphs in a glitch-decoder sweep.</t>
  </si>
  <si>
    <t>Header; extremely lo-fi, very mrdoob.</t>
  </si>
  <si>
    <t>Noma</t>
  </si>
  <si>
    <t>Reservation CTA is a vertical stack: 'Make a / Reservation' that splits apart on hover with 'Make a' rising 8px and 'Reservation' falling 8px, revealing a small green '→' in the center gap.</t>
  </si>
  <si>
    <t>hover-swap</t>
  </si>
  <si>
    <t>Homepage hero; the most elegant reservation button in hospitality.</t>
  </si>
  <si>
    <t>Akaru — Reel Page</t>
  </si>
  <si>
    <t>Frame-step button: the CTA cycles the project thumbnail inside the button through 4 keyframes on hover, ending on the static hero frame</t>
  </si>
  <si>
    <t>Reel-page CTAs on akaru.fr</t>
  </si>
  <si>
    <t>Arc browser</t>
  </si>
  <si>
    <t>Hover-swap 'Download Arc' where the label slides up and 'Download for free ⤓' slides up from below in a stacked 2-row mask, with the whole button softly lifting on a CSS shadow.</t>
  </si>
  <si>
    <t>Top nav; the stacked-text swap is signature.</t>
  </si>
  <si>
    <t>BUCK — design &amp; technology studio</t>
  </si>
  <si>
    <t>Wordmark CTAs where the '→' arrow is a separate animated SVG that rotates 90° on hover while the label slides left to fill the gap, then resets with an overshoot spring.</t>
  </si>
  <si>
    <t>Case study footers and the work index grid.</t>
  </si>
  <si>
    <t>Cabinet Magazine</t>
  </si>
  <si>
    <t>Footnotes are revealed via a numbered superscript button that, on hover, drops a 4-line footnote preview downward in a callout box with a 1px orange arrow connecting them.</t>
  </si>
  <si>
    <t>Essay pages; the footnote-as-button interaction is signature.</t>
  </si>
  <si>
    <t>Cal.com</t>
  </si>
  <si>
    <t>Hover-swap 'Get started' where a calendar-icon glyph ticks over (like a page-turn) to a checkmark on hover, with the background doing a 4px diagonal nudge.</t>
  </si>
  <si>
    <t>Top nav; the page-turn calendar glyph is signature.</t>
  </si>
  <si>
    <t>Commercial Type</t>
  </si>
  <si>
    <t>Specimen download button is a tiny black '↓' that on hover drops the actual specimen PDF preview thumbnail (120px wide) down from the arrow on a 250ms ease.</t>
  </si>
  <si>
    <t>Typeface detail pages; the drop-preview is a foundry signature.</t>
  </si>
  <si>
    <t>Fontsmith</t>
  </si>
  <si>
    <t>Type-specimen CTA: hovering the label swaps the rendered face inside the button to the typeface being previewed, with a 0.2s cross-fade</t>
  </si>
  <si>
    <t>Typeface-detail CTAs</t>
  </si>
  <si>
    <t>Framer (Templates)</t>
  </si>
  <si>
    <t>Hover-swap 'Use this template' where the label slides up and 'Live preview →' slides up from below, and the background does a 4px Y-translate matching the swap.</t>
  </si>
  <si>
    <t>Template cards; very Framer-specific.</t>
  </si>
  <si>
    <t>Jam3</t>
  </si>
  <si>
    <t>Pointer-aware marquee CTA: the label text is a horizontally scrolling band that speeds up or reverses based on pointer x-velocity inside the hit area</t>
  </si>
  <si>
    <t>Case-study entry CTAs</t>
  </si>
  <si>
    <t>Loewe</t>
  </si>
  <si>
    <t>Menu CTA 'Discover' is rendered in Loewe's custom serif with letter-spacing that animates from 0.4em to 0.1em on hover, while a 1px gold rule draws underneath with a 400ms ease-out.</t>
  </si>
  <si>
    <t>Top-nav and product page.</t>
  </si>
  <si>
    <t>Manual (Agency)</t>
  </si>
  <si>
    <t>Pill button whose internal SVG icon detaches and orbits the label on hover, leaving a 1px orbital trail</t>
  </si>
  <si>
    <t>Service page CTAs on manualcreative.com</t>
  </si>
  <si>
    <t>Paragraph.xyz — newsletter/Web3</t>
  </si>
  <si>
    <t>Inline 'Subscribe' wordmark CTAs that on hover reveal a handwriting-script alternate spelling that morphs in via SVG path interpolation in 350ms.</t>
  </si>
  <si>
    <t>Newsletter cards on the home feed.</t>
  </si>
  <si>
    <t>Pentagram</t>
  </si>
  <si>
    <t>Underline-as-button: an oversized serif word with a 2px underline that travels from left-to-right and right-to-left as the pointer crosses the word</t>
  </si>
  <si>
    <t>Partner-page entry links</t>
  </si>
  <si>
    <t>Production Type</t>
  </si>
  <si>
    <t>Buy button uses a 1px horizontal line that thickens into a 4px bar on hover, then the typeface name in caps rotates -2deg while the price fades in on a 200ms delay.</t>
  </si>
  <si>
    <t>Typeface cards.</t>
  </si>
  <si>
    <t>Purplegrain</t>
  </si>
  <si>
    <t>Hover-swap wordmark button: hovering replaces 'Case study' with the project name in a different weight/language, with a vertical slice wipe</t>
  </si>
  <si>
    <t>Homepage grid CTAs</t>
  </si>
  <si>
    <t>Texte zur Kunst</t>
  </si>
  <si>
    <t>Issue archive buttons are tiny vertical text strips rotated 90deg on the left margin; on hover they rotate back to 0deg and expand width to read the issue title.</t>
  </si>
  <si>
    <t>Issue sidebar; very 'library spine' reference.</t>
  </si>
  <si>
    <t>The Gentlewoman</t>
  </si>
  <si>
    <t>Issue-buy CTA uses a two-row stacked label ('Buy / Issue 25') that flips on its X-axis on hover, revealing the price on the back face in 11px monospace.</t>
  </si>
  <si>
    <t>Issue index; very serif-on-serif typographic flip.</t>
  </si>
  <si>
    <t>The Row</t>
  </si>
  <si>
    <t>Add-to-bag button is essentially invisible (no fill, no border, just tracked-out 10px text); hover adds a 1px underline that draws in 600ms and the text shifts 4px right.</t>
  </si>
  <si>
    <t>The ultimate minimal luxury button.</t>
  </si>
  <si>
    <t>Toteme</t>
  </si>
  <si>
    <t>Category nav uses over-sized spaced-out sans-serif labels that compress kerning from 0.6em to 0.2em on hover, with a 1px line that draws from center outward beneath each.</t>
  </si>
  <si>
    <t>Top nav; very quiet, very 'fashion-editorial'.</t>
  </si>
  <si>
    <t>Zora — on-chain media</t>
  </si>
  <si>
    <t>Pill CTAs with an internal '→' arrow that on hover travels around the inside perimeter of the pill (clockwise) before settling, while the label text shifts left to compensate.</t>
  </si>
  <si>
    <t>Coin and mint pages.</t>
  </si>
  <si>
    <t>Acne Studios</t>
  </si>
  <si>
    <t>Subscribe button is a pale-pink rectangle with a single red 'A' character inside; on hover the A scales to fill the button and the rest of the label 'cne Studios' redraws in red 800-weight grotesk.</t>
  </si>
  <si>
    <t>Newsletter modal.</t>
  </si>
  <si>
    <t>Document Journal</t>
  </si>
  <si>
    <t>'Open Story' button is a 1px underline that thickens into a 6px solid bar on hover while the label kerns -2% and shifts 2px right, mimicking the visual of pulling a tab.</t>
  </si>
  <si>
    <t>Feature index.</t>
  </si>
  <si>
    <t>Foundation (web3)</t>
  </si>
  <si>
    <t>Hover-swap 'Explore' where a black-filled label inverts to outlined on hover, and a small '→' glyphs slides in from the right with a 200ms delay.</t>
  </si>
  <si>
    <t>Header.</t>
  </si>
  <si>
    <t>Frantzén</t>
  </si>
  <si>
    <t>Book button is a tall vertical rectangle reading 'BOKA' stacked on three lines; on hover each letter slides right 20px and reveals the English 'BOOK' in tracked-out 9px beneath.</t>
  </si>
  <si>
    <t>Homepage.</t>
  </si>
  <si>
    <t>Hugging Face</t>
  </si>
  <si>
    <t>Hover-swap emoji-prefixed buttons ('🤗 Get started') where the emoji scales 1.0→1.3 on hover with a slight rotation, and the rest of the label shifts right to make space.</t>
  </si>
  <si>
    <t>Header; charming and on-brand.</t>
  </si>
  <si>
    <t>Mem</t>
  </si>
  <si>
    <t>Hover-swap 'Get Mem — it's free' where the en-dash briefly extends into a longer em-dash and back on hover, a tiny micro-typographic moment.</t>
  </si>
  <si>
    <t>Top-right nav — subtle but intentional.</t>
  </si>
  <si>
    <t>Mori Art Museum</t>
  </si>
  <si>
    <t>Exhibition archive buttons are vertical Japanese-set labels that slide horizontally on hover with a 14-character kerning expansion, revealing the English title as a 9px caption beneath.</t>
  </si>
  <si>
    <t>Exhibition archive.</t>
  </si>
  <si>
    <t>Readwise</t>
  </si>
  <si>
    <t>Underline-grow 'Get started' where a single 1px line grows from center outward in 240ms, with a small arrow glyph that nudges 4px right on hover.</t>
  </si>
  <si>
    <t>Header; minimal but well-orchestrated.</t>
  </si>
  <si>
    <t>Akaru</t>
  </si>
  <si>
    <t>Liquid-gradient button: animated mesh-gradient fill clipped to the pill, with the gradient origin following the pointer at 0.6 damping</t>
  </si>
  <si>
    <t>liquid</t>
  </si>
  <si>
    <t>Akaru.fr signature CTA</t>
  </si>
  <si>
    <t>Alchemist</t>
  </si>
  <si>
    <t>Ticket CTA uses a 30-frame looping paint-mix pour animation as the background of the button — actual footage looped, with the label rendered on top in stark white sans.</t>
  </si>
  <si>
    <t>Tickets page; one of the most cinematic restaurant CTAs.</t>
  </si>
  <si>
    <t>Codrops — liquid button effect</t>
  </si>
  <si>
    <t>Pill buttons that use a WebGL displacement shader to create a true liquid bulge under the pointer; the fill color is a separate liquid layer that mixes via additive blending.</t>
  </si>
  <si>
    <t>Yuriy Artyukh's liquid distortion demo republished on Codrops.</t>
  </si>
  <si>
    <t>Lusion — real-time studio</t>
  </si>
  <si>
    <t>Liquid-metal CTAs with a fluid-sim driven reflective surface; the button's outline is a marching-squares iso-contour that breaks and reforms around the pointer.</t>
  </si>
  <si>
    <t>The 'Liquid Metal' case study page; the CTA itself is a live GPU fluid sim.</t>
  </si>
  <si>
    <t>Resn</t>
  </si>
  <si>
    <t>Liquid-morph primary button: a viscous gradient blob follows the cursor inside the button's rounded mask, leaving a temporary trail that refills on exit</t>
  </si>
  <si>
    <t>Site-of-the-Day resn.co.nz has a custom WebGL fluid sim under every primary CTA</t>
  </si>
  <si>
    <t>Stink Studios</t>
  </si>
  <si>
    <t>Direction-aware fluid hover: a WebGL plane warps behind the label following the pointer, like ink dispersing in water but reversed on the trailing edge</t>
  </si>
  <si>
    <t>Project case-study entry buttons on stinkstudios.com</t>
  </si>
  <si>
    <t>Convex</t>
  </si>
  <si>
    <t>Liquid-fill 'Start building' where the fill animates from the bottom with a custom cubic-bezier overshoot, paired with a chevron that lifts on the same curve.</t>
  </si>
  <si>
    <t>Hero.</t>
  </si>
  <si>
    <t>Eleven Madison Park</t>
  </si>
  <si>
    <t>'Reserve' button is a 1px gold-outlined rectangle that fills from bottom with a 2s slow rise mimicking pouring liquid, while the gold label crossfades to black at the fill midpoint.</t>
  </si>
  <si>
    <t>Reservations page.</t>
  </si>
  <si>
    <t>Hello Monday</t>
  </si>
  <si>
    <t>Rainbow gradient liquid-fill button: a conic-gradient mask pours from the click origin and fills the pill over 700ms with a single subtle parallax on the label</t>
  </si>
  <si>
    <t>Featured in many HM microsites</t>
  </si>
  <si>
    <t>Pitch</t>
  </si>
  <si>
    <t>Liquid-fill 'Get started' where a blob of brand color expands from the pointer impact point using an SVG gooey filter, with the label text remaining perfectly readable above the fill.</t>
  </si>
  <si>
    <t>Homepage hero.</t>
  </si>
  <si>
    <t>thatgamecompany — Sky: Children of the Light</t>
  </si>
  <si>
    <t>Soft pastel 'Play' buttons with a watercolor wet-edge fill that bleeds outward from the cursor on hover, drying into a paper-grain texture on click.</t>
  </si>
  <si>
    <t>Hero CTA and platform store buttons.</t>
  </si>
  <si>
    <t>Whitney Museum</t>
  </si>
  <si>
    <t>Exhibition filter chips are rendered in the museum's custom punchy condensed grotesk; the active chip fills with a 200ms liquid-mercury wipe that overshoots 2px before settling.</t>
  </si>
  <si>
    <t>Collection / exhibitions filter bar.</t>
  </si>
  <si>
    <t>Zora</t>
  </si>
  <si>
    <t>Liquid-fill 'Create coin' with a wavy top edge on the fill that animates continuously using SVG path morphing, paired with a 1px outline that pulses.</t>
  </si>
  <si>
    <t>Hero; the wavy-liquid is signature to Zora's coin metaphor.</t>
  </si>
  <si>
    <t>Oddfellows</t>
  </si>
  <si>
    <t>Liquid gradient-fill button: a 3-stop gradient animates diagonally through the pill on a 4s loop, with the label rendered in a high-contrast mask</t>
  </si>
  <si>
    <t>Service page CTAs on oddfellows.tv</t>
  </si>
  <si>
    <t>BUCK</t>
  </si>
  <si>
    <t>Magnetic wordmark CTA: the text label physically tilts toward the pointer with damped easing while an underline SVG path redraws from the cursor side</t>
  </si>
  <si>
    <t>magnetic</t>
  </si>
  <si>
    <t>Project case-study CTAs throughout buck.co</t>
  </si>
  <si>
    <t>Hermès</t>
  </si>
  <si>
    <t>Add-to-bag button is an ultra-thin H-letterform-stamped rectangle where hovering slides the H monogram from left to right of the label, tracking the cursor with a 0.08 lerp.</t>
  </si>
  <si>
    <t>PDPs; one of the most restrained, luxurious micro-interactions in fashion.</t>
  </si>
  <si>
    <t>Instrument</t>
  </si>
  <si>
    <t>Magnetic asymmetric CTA: a non-rectangular polygon hits test across its visible SVG path and skews toward the cursor with spring physics</t>
  </si>
  <si>
    <t>Homepage case-study entry buttons</t>
  </si>
  <si>
    <t>Linear</t>
  </si>
  <si>
    <t>Magnetic 'Start writing' CTA where the arrow glyph and label track pointer position with damped easing; on click the label crossfades to 'Loading…' then morphs into a 'Logged in ✓' confirmation inline.</t>
  </si>
  <si>
    <t>Homepage primary nav and hero — most cited magnetic button of the last 3 years.</t>
  </si>
  <si>
    <t>adidas // metaverse</t>
  </si>
  <si>
    <t>Pillar CTAs that shift their entire background to a generative Three.js point-cloud referencing the current collection, with a magnetic label that snaps to pointer x-position.</t>
  </si>
  <si>
    <t>Original .metaverse portal pages (pre-sunset); widely screenshotted.</t>
  </si>
  <si>
    <t>Clay</t>
  </si>
  <si>
    <t>Magnetic 'Get started for free' with a subtle parallax where each letter of the label responds independently to cursor proximity with a 6px max offset.</t>
  </si>
  <si>
    <t>Hero — letter-magnetic is a Clay signature.</t>
  </si>
  <si>
    <t>Jam3 — interactive studio</t>
  </si>
  <si>
    <t>Magnetic circular play buttons with a thin progress ring that fills via shader as the project preview auto-plays in the background on hover.</t>
  </si>
  <si>
    <t>Project tile hover state on the work index.</t>
  </si>
  <si>
    <t>Lindy</t>
  </si>
  <si>
    <t>Magnetic 'Get started — free' where the whole button (not just label) tilts toward the cursor with a 3D perspective, capped at 8° rotation.</t>
  </si>
  <si>
    <t>Hero; full-button 3D tilt is rarer than label-only magnetic.</t>
  </si>
  <si>
    <t>Locomotive</t>
  </si>
  <si>
    <t>Stretch-button CTA: the pill horizontally stretches 30% along the pointer axis using a transform on mousemove, with the label counter-translating to stay centered</t>
  </si>
  <si>
    <t>Work index CTAs on locomotive.ca</t>
  </si>
  <si>
    <t>Tate</t>
  </si>
  <si>
    <t>Exhibition 'Book tickets' button uses a magnetic-attraction interaction where the label subtly tracks the cursor within a 40px radius (lerped 0.15) before snap-back on leave.</t>
  </si>
  <si>
    <t>Exhibition landing pages.</t>
  </si>
  <si>
    <t>The Line (Animation Studio)</t>
  </si>
  <si>
    <t>Magnetic reel-play button: a thick-stroke circle with a centered triangle that scales with cursor velocity and snaps to a 1px rim on click</t>
  </si>
  <si>
    <t>Reel launcher on the-line.tv</t>
  </si>
  <si>
    <t>Wieden+Kennedy</t>
  </si>
  <si>
    <t>Magnetic underline CTA: the underline length is set to 0% and grows to the pointer's x-offset within the word, animating only on exit</t>
  </si>
  <si>
    <t>Site-wide link pattern on wk.com</t>
  </si>
  <si>
    <t>Dsign</t>
  </si>
  <si>
    <t>Magnetic dual-state CTA: a single button contains two stacked labels that crossfade and counter-translate based on cursor x-position inside the pill</t>
  </si>
  <si>
    <t>Project CTAs on dsign.io</t>
  </si>
  <si>
    <t>Active Theory — studio site</t>
  </si>
  <si>
    <t>Giant hero CTAs rendered as volumetric text inside a Three.js particle field; hovering pulls particles inward to outline the glyph, click disperses them into a portal transition.</t>
  </si>
  <si>
    <t>mask-reveal</t>
  </si>
  <si>
    <t>The 'Inside the Spheres' / Underwater case studies have the best examples.</t>
  </si>
  <si>
    <t>Art Blocks Curated</t>
  </si>
  <si>
    <t>Project mint CTAs that preview the actual generative script's first frame as a GPU-rendered thumbnail inside the button itself, swapping on each new project.</t>
  </si>
  <si>
    <t>Each project page's primary CTA is a live shader preview.</t>
  </si>
  <si>
    <t>Framer</t>
  </si>
  <si>
    <t>Mask-reveal 'Start for free' where a vertical bar wipes across the label to swap it from outline type to filled type, while the background crossfades from white to black in the same mask window.</t>
  </si>
  <si>
    <t>Hero CTA — one of the cleanest wipe-to-invert buttons in SaaS.</t>
  </si>
  <si>
    <t>Ordinary Folk</t>
  </si>
  <si>
    <t>Mask-reveal CTA: a circular clip-path expands from the click origin until it covers the viewport, swapping the label to 'Enter' mid-animation</t>
  </si>
  <si>
    <t>Ordinary Folk's signature transition into case studies</t>
  </si>
  <si>
    <t>Codrops — magnetic mask hover</t>
  </si>
  <si>
    <t>A magnetic cursor that carries a circular mask revealing an inverted-color copy of the underlying link, with the mask size breathing +6/-2px on hover.</t>
  </si>
  <si>
    <t>Modern CSS + JS magnetic mask tutorial.</t>
  </si>
  <si>
    <t>Imaginaestudio</t>
  </si>
  <si>
    <t>Mask-reveal CTA: a square SVG mask expands from 0 to viewport size on click, with the button label rotating 90° during the transition</t>
  </si>
  <si>
    <t>It's Nice That</t>
  </si>
  <si>
    <t>Category tags use a horizontal text-scrub interaction: hovering scrubs the entire tag string across the label in a tight 6vw track, masking the text inside a fixed-width chip.</t>
  </si>
  <si>
    <t>Article index filter chips.</t>
  </si>
  <si>
    <t>MediaMonks (Monks)</t>
  </si>
  <si>
    <t>Mask-reveal CTA: a chevron '&gt;' mask expands to cover the button, revealing a project still underneath as the label slides out left</t>
  </si>
  <si>
    <t>Project-card hover CTA</t>
  </si>
  <si>
    <t>Mercor</t>
  </si>
  <si>
    <t>Mask-reveal 'Get started' with a 3D perspective flip on the Y-axis where the front face reads 'Apply' and the back face reads 'Mercor ⤴', flipped via rotateY on hover.</t>
  </si>
  <si>
    <t>Hero — 3D card flip on a CTA is rare in 2024 SaaS.</t>
  </si>
  <si>
    <t>Notion</t>
  </si>
  <si>
    <t>Soft-pill 'Get Notion free' with a masked inline arrow that draws itself via stroke-dasharray on hover, while a subtle inner highlight sweeps top→bottom.</t>
  </si>
  <si>
    <t>Top-right nav; restrained but distinctive stroke animation.</t>
  </si>
  <si>
    <t>Reflect</t>
  </si>
  <si>
    <t>Morph CTA where 'Try Reflect' outline label inverts to filled black on hover via a horizontal mask wipe, accompanied by a subtle blur-then-sharpen on the letterforms during transition.</t>
  </si>
  <si>
    <t>Top nav.</t>
  </si>
  <si>
    <t>Resend</t>
  </si>
  <si>
    <t>Mask-reveal 'Start sending' where a paper-plane SVG flies in from off-button on hover, leaving a 1px trail that fades after 400ms.</t>
  </si>
  <si>
    <t>Hero — the paper-plane trail is distinctive.</t>
  </si>
  <si>
    <t>Studio Yotta</t>
  </si>
  <si>
    <t>Pointer-mask CTA: a 120px Gaussian-blurred radial mask follows the cursor and reveals a hidden color-tinted plate beneath the label</t>
  </si>
  <si>
    <t>Homepage primary CTA on studioyotta.com</t>
  </si>
  <si>
    <t>Tool — design &amp; technology studio</t>
  </si>
  <si>
    <t>Hidden 1px-stroke play buttons on reel thumbnails that explode into a fullscreen video on click via a Voronoi-shard mask transition.</t>
  </si>
  <si>
    <t>Watch their 2024 reel entry tiles.</t>
  </si>
  <si>
    <t>tympanus.net — image hover effects roundup</t>
  </si>
  <si>
    <t>Diagonal mask-reveal CTAs where a triangular clip wipes from the top-left to expose a contrasting background layer on hover, with the wipe angle tracking the pointer entry direction.</t>
  </si>
  <si>
    <t>A commonly-cited Codrops pattern; the diagonal wipe is the signature.</t>
  </si>
  <si>
    <t>Guggenheim</t>
  </si>
  <si>
    <t>'Buy Tickets' CTA is a black-on-white rectangle that, on hover, inverts the entire viewport behind it via a 200ms radial mask-reveal from cursor position outward.</t>
  </si>
  <si>
    <t>Visitor info page.</t>
  </si>
  <si>
    <t>Render</t>
  </si>
  <si>
    <t>Mask-reveal 'Get started for free' with a horizontal wipe that reveals a green-to-black gradient and a sliding chevron that overshoots and settles.</t>
  </si>
  <si>
    <t>Klim Type Foundry</t>
  </si>
  <si>
    <t>Buy button is a small monospaced '$XX' that on hover expands to a 240px field with a 6-character typeset test-string 'Hool' running across it in the displayed font face.</t>
  </si>
  <si>
    <t>morph</t>
  </si>
  <si>
    <t>Typeface pages; the test-string-as-button is a Klim signature.</t>
  </si>
  <si>
    <t>Atomix</t>
  </si>
  <si>
    <t>Course-selector buttons are 12 small circles numbered 01–12 (the courses); the active one morphs into a horizontal pill revealing the course name in a tight 9px grotesk.</t>
  </si>
  <si>
    <t>Tasting menu page.</t>
  </si>
  <si>
    <t>Cabbibo — shader artist site</t>
  </si>
  <si>
    <t>Project tiles are full-bleed GLSL shader thumbnails; hovering swaps the running shader seed and the click CTA inflates like a soft-body metaball before launching the piece.</t>
  </si>
  <si>
    <t>Best example of the 'shader is the button surface' pattern.</t>
  </si>
  <si>
    <t>Claude (Anthropic)</t>
  </si>
  <si>
    <t>Morph 'Talk to Claude' outline button that on hover thickens its border 1px→2px while the label cross-dissolves to 'Start chatting', both labels in serif.</t>
  </si>
  <si>
    <t>Top nav; the serif type is distinctive among AI tools.</t>
  </si>
  <si>
    <t>Eye Magazine</t>
  </si>
  <si>
    <t>Subscribe CTA renders as a tiny red square that scales into a full-width red bar on hover, with the label swapping from 'Subscribe' to '£' and the issue number via a vertical crossfade.</t>
  </si>
  <si>
    <t>Issue sidebar.</t>
  </si>
  <si>
    <t>Eye on Design (AIGA)</t>
  </si>
  <si>
    <t>Tag chips are 1px outlined pills where hovering expands the chip width to fit the longest sub-tag in that group, and the entire group of chips re-flows in a CSS grid auto-fit.</t>
  </si>
  <si>
    <t>Article filters; the auto-reflow is distinctive.</t>
  </si>
  <si>
    <t>Grilli Type</t>
  </si>
  <si>
    <t>Activate a typeface's test-mode button is a 'AA' monogram that, on hover, AA scales to 4x and locks the entire specimen into the active weight/style sample field.</t>
  </si>
  <si>
    <t>Specimen tester.</t>
  </si>
  <si>
    <t>hover.me — gallery of hover interactions</t>
  </si>
  <si>
    <t>An aggregated gallery of hover micro-interactions; the 'See it' CTA itself morphs into a 3D book that flips open on hover, sourced from a community submission by Tim Holman.</t>
  </si>
  <si>
    <t>Curated by Jhey Tompkins; bookmark-worthy as a reference set.</t>
  </si>
  <si>
    <t>Lemaire</t>
  </si>
  <si>
    <t>Newsletter subscribe is a single 1px field with a 30° rotated arrow submit button; on focus the arrow rotates back to 0° and the placeholder text fades in 200ms after.</t>
  </si>
  <si>
    <t>Footer subscribe.</t>
  </si>
  <si>
    <t>NotReal</t>
  </si>
  <si>
    <t>Morph pill-to-circle: a 280px wide pill collapses to a 64px circle on click while the label fades and a spin-loader takes over</t>
  </si>
  <si>
    <t>Form-submit CTAs on notreal.studio</t>
  </si>
  <si>
    <t>OH no Type</t>
  </si>
  <si>
    <t>Specimen 'Try' button opens an inline tester by morphing the button rectangle 4x its width while loading a contenteditable field pre-set in the typeface.</t>
  </si>
  <si>
    <t>Typeface detail.</t>
  </si>
  <si>
    <t>Pin–Up</t>
  </si>
  <si>
    <t>Archive filter pills are rendered as architectural floor-plan shapes (L, T, cross) that morph between geometries as you cycle filters, with the active state drawn as a thick magenta outline.</t>
  </si>
  <si>
    <t>Archive index.</t>
  </si>
  <si>
    <t>Raycast (Store)</t>
  </si>
  <si>
    <t>Custom-shape 'Install extension' where the button shows a tiny key-cap icon (⌘) that depresses and a checkmark appears on click, with the label updating inline.</t>
  </si>
  <si>
    <t>Store card CTA; morphs from install → installed state inline.</t>
  </si>
  <si>
    <t>Replicate</t>
  </si>
  <si>
    <t>Terminal-style 'run' button (▶) where pressing the play triangle triggers a loading bar to wipe across the button width and the triangle morphs into a square (stop).</t>
  </si>
  <si>
    <t>Model page CTAs.</t>
  </si>
  <si>
    <t>Replit</t>
  </si>
  <si>
    <t>Custom-shape 'Start creating' with a beveled corner and a small play-triangle glyph that morphs into a checkmark on hover using SVG path morphing.</t>
  </si>
  <si>
    <t>Sharp Type</t>
  </si>
  <si>
    <t>Specimen download is a 0.5x glyph 'S' that, on hover, scales 6x to fill the button and renders a full pangram across it in 0.06em-tracked active font.</t>
  </si>
  <si>
    <t>Typeface index.</t>
  </si>
  <si>
    <t>SuperRare — NFT marketplace</t>
  </si>
  <si>
    <t>Wordmark CTAs where the 'Place bid' label flips vertically on hover to a 3D-rotated 'Bid placed' confirmation state with a subtle motion-blur trail.</t>
  </si>
  <si>
    <t>Artwork detail and auction flow.</t>
  </si>
  <si>
    <t>UNIT9</t>
  </si>
  <si>
    <t>Three-dimensional card-flip CTA: hovering flips a 6px-thick slab to expose a back face with project metadata in a contrasting palette</t>
  </si>
  <si>
    <t>Project card hover/CTA on unit9.com work index</t>
  </si>
  <si>
    <t>Unit9 — experience studio</t>
  </si>
  <si>
    <t>Full-bleed project CTAs that are physically-simulated cloth banners on hover, draping under the pointer and snapping taut on release.</t>
  </si>
  <si>
    <t>Look for the 'cloth' or 'fabric' case studies.</t>
  </si>
  <si>
    <t>V&amp;A</t>
  </si>
  <si>
    <t>Search submit button is a magnifying-glass SVG that rotates 180deg on hover and unfurls into a full input bar that grows from the icon's center.</t>
  </si>
  <si>
    <t>Header search.</t>
  </si>
  <si>
    <t>Bold Monday</t>
  </si>
  <si>
    <t>Try button morphs into a 300px contenteditable inline tester with placeholder text set in the active face, kerned at 0% so the user sees the type's natural spacing.</t>
  </si>
  <si>
    <t>Typeface page.</t>
  </si>
  <si>
    <t>Cosme</t>
  </si>
  <si>
    <t>Reserve button is a tiny green dot that on hover expands into a 200px-wide capsule with 'Reserve via Resy' tracked at 0.4em letter-spacing, with a 220ms ease-in-out scale.</t>
  </si>
  <si>
    <t>Khaite</t>
  </si>
  <si>
    <t>Pre-order CTA is a 'notify me' pill that morphs into an email-capture input inline, with a circular submit arrow that rotates 90deg when valid email is entered.</t>
  </si>
  <si>
    <t>Sold-out product pages.</t>
  </si>
  <si>
    <t>Optimo</t>
  </si>
  <si>
    <t>Submit button on contact form is a 1px-bordered '→' that, on form-valid, rotates 90deg clockwise (becomes '↓') and the border color shifts to green via 300ms tween.</t>
  </si>
  <si>
    <t>Contact form.</t>
  </si>
  <si>
    <t>Ustwo</t>
  </si>
  <si>
    <t>Outline-to-solid morph CTA: a 1px outlined pill gains a 1.2em solid fill, and the label swaps to a high-contrast inverted palette with a clipped reveal</t>
  </si>
  <si>
    <t>ustwo.com studio project CTAs</t>
  </si>
  <si>
    <t>RTFKT — Nike Web3 studio</t>
  </si>
  <si>
    <t>Holographic chrome 'Mint' and 'Connect' buttons that react to mouse position with an anisotropic iridescence shader; click fires a particle-burst confetti in the brand's signature neon.</t>
  </si>
  <si>
    <t>sci-fi</t>
  </si>
  <si>
    <t>Drip / mint pages.</t>
  </si>
  <si>
    <t>Bethesda — Starfield</t>
  </si>
  <si>
    <t>Helmet-visor 'Watch' CTAs with an interior CRT scanline and a starfield parallax that follows the cursor; click fires a thruster-particle burst.</t>
  </si>
  <si>
    <t>Hero CTA on the Starfield landing page.</t>
  </si>
  <si>
    <t>Coppola Agency</t>
  </si>
  <si>
    <t>Sci-fi terminal CTA: a bracketed [ click ] label with a blinking caret that, on hover, types out a command like '&gt; open_reel' before executing the navigation</t>
  </si>
  <si>
    <t>Site-wide CTA pattern on coppola.agency</t>
  </si>
  <si>
    <t>glass.xyz</t>
  </si>
  <si>
    <t>Crystalline faceted polygon CTAs with a thin Fresnel rim light that follows the pointer; hover tilts the polygon 12° in 3D with a soft drop shadow.</t>
  </si>
  <si>
    <t>Hero and 'Explore' CTAs.</t>
  </si>
  <si>
    <t>Highlight (.xyz)</t>
  </si>
  <si>
    <t>Sci-fi 'Launch' with a glowing outline that uses a conic-gradient mask rotating slowly behind a 1px white border, simulating a holo effect.</t>
  </si>
  <si>
    <t>Hero; the conic-behind-outline is rare and well-executed.</t>
  </si>
  <si>
    <t>Labase</t>
  </si>
  <si>
    <t>Tech/noir CTA: a black plate with a 1px neon-green border that pulses on hover, label in monospaced IBM Plex Mono with a left-rail loading bar</t>
  </si>
  <si>
    <t>Service-page CTAs on labase.tech</t>
  </si>
  <si>
    <t>Mirror.xyz — Web3 publishing</t>
  </si>
  <si>
    <t>Auction 'Bid' CTAs with a thin progress arc that fills clockwise around the button as a live countdown of the auction, then snaps to a hatched 'Closed' state at zero.</t>
  </si>
  <si>
    <t>Crowdfund page primary CTA.</t>
  </si>
  <si>
    <t>R/GA</t>
  </si>
  <si>
    <t>Sci-fi wireframe CTA: a 3D wireframe polyhedron rotates inside the button, swapping a corner label that names the destination case study</t>
  </si>
  <si>
    <t>Case-study launchers on rga.com</t>
  </si>
  <si>
    <t>Vercel (Ship page)</t>
  </si>
  <si>
    <t>Sci-fi 'Watch the keynote →' with a 1px outline that draws itself around the button on scroll into view and a tiny dot that races along the outline once on hover.</t>
  </si>
  <si>
    <t>Event page; the dot-racing-along-outline is memorable.</t>
  </si>
  <si>
    <t>Height</t>
  </si>
  <si>
    <t>Sci-fi 'Get started' with a thin animated border that draws itself around the button on mount and pulses once on hover, paired with a small dot indicator that fills with color.</t>
  </si>
  <si>
    <t>Neon</t>
  </si>
  <si>
    <t>Sci-fi 'Get started' outlined button with a chrome inner-glow that flickers once on hover and a 1px outline that brightens to 2px effective via box-shadow.</t>
  </si>
  <si>
    <t>Prada — Timecapsule NFT pages</t>
  </si>
  <si>
    <t>Capsule-shaped CTAs with a thin rotating dash pattern border (like a loading ring) that pauses and resolves into a solid stroke on hover.</t>
  </si>
  <si>
    <t>Timecapsule drop pages.</t>
  </si>
  <si>
    <t>Active Theory</t>
  </si>
  <si>
    <t>WebGL canvas-warp CTA: the label is rendered into a 3D mesh that physically deforms toward the pointer, snapping back with spring overshoot on click</t>
  </si>
  <si>
    <t>signature-mono</t>
  </si>
  <si>
    <t>Homepage hero CTA, signature Active Theory interactive-button language</t>
  </si>
  <si>
    <t>Kadenwood</t>
  </si>
  <si>
    <t>Signature monochrome arrow-button: a thin 1px-stroke chevron that draws itself from the center outward, paired with a counterweight underline on the label</t>
  </si>
  <si>
    <t>Kadenwood's recurring brand mark / CTA</t>
  </si>
  <si>
    <t>Playdate — handheld console site</t>
  </si>
  <si>
    <t>Physical-crank-inspired CTAs where the button is a 1-bit dithered crank icon; rotating the crank (drag horizontally) actually scrubs a video preview behind the button.</t>
  </si>
  <si>
    <t>Game store pages; the crank-to-scrub is the entire game preview UI.</t>
  </si>
  <si>
    <t>Spike Art Magazine</t>
  </si>
  <si>
    <t>Issue navigation uses oversized issue numbers (200pt) that the user drags horizontally like a slot machine; releasing snaps to the next issue with a subtle bounce.</t>
  </si>
  <si>
    <t>Homepage issue selector; almost no other magazine does slot-machine navigation.</t>
  </si>
  <si>
    <t>Wallpaper*</t>
  </si>
  <si>
    <t>Menu trigger is a custom 3D-rendered asterisk glyph that rotates and disassembles on hover, with each spoke becoming a separate nav label that flies to its quadrant.</t>
  </si>
  <si>
    <t>Top-right of homepage; the asterisk is a wordmark-device, not a hamburger.</t>
  </si>
  <si>
    <t>Asai Studio</t>
  </si>
  <si>
    <t>Collection CTA 'View' is set in red Shimo-Kitazawa-style brushy display; on hover a 1px red hand-drawn square 'ticks' itself in with a 300ms stroke-dash draw.</t>
  </si>
  <si>
    <t>Lookbook index.</t>
  </si>
  <si>
    <t>Bradley Taub — buffer &amp; glide buttons</t>
  </si>
  <si>
    <t>Long thin 'glide' CTAs where the underline extends to the right on hover at a velocity proportional to the pointer's x-speed, then retracts on leave with a 200ms ease-out.</t>
  </si>
  <si>
    <t>Header nav; velocity-sensitive line.</t>
  </si>
  <si>
    <t>Cooper Hewitt</t>
  </si>
  <si>
    <t>'Collect' button on object pages turns into a drawn pencil icon that animates a quick 8-frame sketch-loop on hover, with the stroke color sampled from the object's dominant hue.</t>
  </si>
  <si>
    <t>Object detail; color from object is a nice touch.</t>
  </si>
  <si>
    <t>Figma</t>
  </si>
  <si>
    <t>Black 'Get started — free' button that on hover scales 1.02 and reveals a thin animated outline (1px white) orbiting the perimeter via a rotating mask.</t>
  </si>
  <si>
    <t>Top nav; the orbiting outline is unique to Figma's 2024 rebrand.</t>
  </si>
  <si>
    <t>Frieze</t>
  </si>
  <si>
    <t>Article 'Read more' arrows are drawn-on-demand as 1px stroked SVG arrows that redraw their path on hover with a 600ms stroke-dashoffset animation.</t>
  </si>
  <si>
    <t>Editorial cards on /articles.</t>
  </si>
  <si>
    <t>Granola</t>
  </si>
  <si>
    <t>Signature-mono 'Read your meetings →' with an animated arrow that draws its own path via SVG stroke-dashoffset on scroll into view.</t>
  </si>
  <si>
    <t>Hero; very restrained, very distinctive.</t>
  </si>
  <si>
    <t>Gucci Vault — Web3 store</t>
  </si>
  <si>
    <t>Editorial serif 'View' CTAs whose kerning expands 8% on hover, accompanied by a gold-foil noise overlay that tracks the pointer with a 60ms lag.</t>
  </si>
  <si>
    <t>Product detail 'View on chain' buttons.</t>
  </si>
  <si>
    <t>Mintlify</t>
  </si>
  <si>
    <t>Signature-mono 'Get started' with a tiny gradient orb that orbits the label and shifts hue continuously at very low opacity, on a pure-black background.</t>
  </si>
  <si>
    <t>Hero — premium dark mode.</t>
  </si>
  <si>
    <t>MoMA</t>
  </si>
  <si>
    <t>'Add to My Collection' heart button has a 12-frame hand-drawn pencil-fill animation that fires once on click and persists as a saved state with a tiny checkmark in the same hand-drawn style.</t>
  </si>
  <si>
    <t>Artwork detail page.</t>
  </si>
  <si>
    <t>Naughty Dog — TLou / Intergalactic</t>
  </si>
  <si>
    <t>Wide editorial wordmark CTAs whose underline is a hand-drawn ink stroke with variable width; hover re-draws the stroke from a randomized offset, click commits the path with a small ink splatter.</t>
  </si>
  <si>
    <t>Project page nav.</t>
  </si>
  <si>
    <t>Nike .Swoosh</t>
  </si>
  <si>
    <t>Polygon-edge outlined CTA cards where the stroke animates as a hand-drawn pen path from one corner to the other on hover, then snaps closed on click.</t>
  </si>
  <si>
    <t>Collection tile CTAs on the home grid.</t>
  </si>
  <si>
    <t>Orca Studio</t>
  </si>
  <si>
    <t>Signature monochrome '→' button: an arrowhead whose line draws from tip to tail on hover, with the label sliding in from the right behind it</t>
  </si>
  <si>
    <t>Site-wide CTA pattern</t>
  </si>
  <si>
    <t>Palais de Tokyo</t>
  </si>
  <si>
    <t>'Discover' CTA is rendered in a raw red marker hand-lettering style; on hover, a single paint-drip SVG animates from the bottom of the last letter, dropping 60px over 1.2s.</t>
  </si>
  <si>
    <t>Editorial feature pages.</t>
  </si>
  <si>
    <t>Piter Pasma — procedural WebGL studio</t>
  </si>
  <si>
    <t>Inline text-link CTAs whose underline is rendered as a procedural noise-wobble SVG path that redraws on each hover and resolves into a clean stroke on click.</t>
  </si>
  <si>
    <t>Header navigation; the underline re-renders every frame the pointer is over it.</t>
  </si>
  <si>
    <t>Schick Toikka</t>
  </si>
  <si>
    <t>Typeface buy button is a left-arrow '‹' that, on hover, animates a 60-character pangram scrolling right-to-left across an 800px-wide marquee bar in the active typeface.</t>
  </si>
  <si>
    <t>Single Thread</t>
  </si>
  <si>
    <t>Reserve button is a 1px line drawing of a thread that traces a path across the button on hover, with the 'Reserve' label typesetting itself one character at a time in sync with the line draw.</t>
  </si>
  <si>
    <t>Header; beautifully on-concept.</t>
  </si>
  <si>
    <t>Story mfg.</t>
  </si>
  <si>
    <t>Add-to-bag button is rendered in a hand-drawn organic typeface ('Story') that wobbles on hover with a 3px y-translate sine wave for 600ms, mimicking natural pen-movement.</t>
  </si>
  <si>
    <t>PDPs; one of the most 'on-brand-as-button' interactions in fashion.</t>
  </si>
  <si>
    <t>Supabase</t>
  </si>
  <si>
    <t>Signature-mono 'Start your project' with a green dot that pulses like a status indicator next to the label, reinforcing the database-uptime metaphor.</t>
  </si>
  <si>
    <t>Hero; the pulsing status dot is now a Supabase signature.</t>
  </si>
  <si>
    <t>theLine Animation — reel site</t>
  </si>
  <si>
    <t>Showreel 'Play' button is a thin hand-drawn circle that completes itself from the cursor's position around the perimeter over 400ms on hover, with a small ink splatter on completion.</t>
  </si>
  <si>
    <t>Hero; the line draws from the cursor entry point.</t>
  </si>
  <si>
    <t>Ueno</t>
  </si>
  <si>
    <t>Oversized '↓' scroll CTA that uses mix-blend-mode: difference to invert against the page color, doubling as a brand mark</t>
  </si>
  <si>
    <t>Sticky bottom-right scroll/contact button</t>
  </si>
  <si>
    <t>AnOther Magazine</t>
  </si>
  <si>
    <t>Read-more links on editorial cards are anchor-shaped SVG icons (literal marine anchor) that rock -8deg on hover while the underline draws from center outward.</t>
  </si>
  <si>
    <t>Article list page.</t>
  </si>
  <si>
    <t>Asador Etxebarri</t>
  </si>
  <si>
    <t>Reservation button is a single fire-icon SVG (literal flame) that flickers with a 4-frame loop on hover (fire animation), with 'Reservations' label in a quiet serif beneath.</t>
  </si>
  <si>
    <t>Contact page.</t>
  </si>
  <si>
    <t>ChatGPT</t>
  </si>
  <si>
    <t>Signature-mono 'Log in' that uses the same Up/Down arrow glyph as the composer, with a tiny bounce on hover that mirrors the input-area animation.</t>
  </si>
  <si>
    <t>Top-right nav.</t>
  </si>
  <si>
    <t>Geranium</t>
  </si>
  <si>
    <t>Reserve button is a small green geranium-leaf SVG that grows/rotates 15deg on hover while the 'Reserve a table' label sets in at 0% letter-spacing from 0.3em over 400ms.</t>
  </si>
  <si>
    <t>Gladeye</t>
  </si>
  <si>
    <t>Pointer-reactive outline: a 1.5px outline that continuously redraws its rounded corners based on cursor distance to the four edges of the bounding box</t>
  </si>
  <si>
    <t>Service page CTAs on gladeye.com</t>
  </si>
  <si>
    <t>godly.website — featured hover of the day</t>
  </si>
  <si>
    <t>A 'Save to collection' CTA on each card that expands a horizontal split-pane preview on hover, the split line itself drawn as a hand-sketched pencil stroke that redraws on each entry.</t>
  </si>
  <si>
    <t>Discovery site; individual featured sites often have stronger examples than the chrome.</t>
  </si>
  <si>
    <t>NEWlyn</t>
  </si>
  <si>
    <t>Newsletter subscribe is a single underline-only link that on hover redraws as a 2px wavy underline (SVG path) animating left-to-right over 500ms.</t>
  </si>
  <si>
    <t>Footer.</t>
  </si>
  <si>
    <t>Vercel</t>
  </si>
  <si>
    <t>Pure monospaced 'Deploy →' button with a sliding caret that overshoots on hover and a 1px underline that wipes from left to right while the chevron rotates 45°.</t>
  </si>
  <si>
    <t>wordmark</t>
  </si>
  <si>
    <t>Top nav; sets the developer-tool wordmark-button template.</t>
  </si>
  <si>
    <t>Anagrama</t>
  </si>
  <si>
    <t>Editorial wordmark CTA: the project name in a 200pt display serif that scales and clips on hover, with a counter-running caption in 9pt below</t>
  </si>
  <si>
    <t>Featured-project entries on anagrama.studio</t>
  </si>
  <si>
    <t>Railway</t>
  </si>
  <si>
    <t>Wordmark 'Deploy now →' where the arrow is actually an animated train icon that runs 8px to the right on hover and loops a tiny steam puff.</t>
  </si>
  <si>
    <t>Hero — train metaphor is on-brand and charming.</t>
  </si>
  <si>
    <t>Silva Studio</t>
  </si>
  <si>
    <t>Wordmark-as-button: the entire studio wordmark is a clickable mask; an internal color-tinted shape slides along the wordmark on pointer y-position</t>
  </si>
  <si>
    <t>Footer and header CTAs</t>
  </si>
  <si>
    <t>Superhuman</t>
  </si>
  <si>
    <t>Wordmark CTA 'Apply for access →' where the chevron is a rotating line-of-text cursor that blinks in time with a real text-cursor caret.</t>
  </si>
  <si>
    <t>Hero; the blinking cursor glyph is signature Superhuman.</t>
  </si>
  <si>
    <t>Inngest</t>
  </si>
  <si>
    <t>Wordmark 'Get started — free' with a sliding underline whose width matches the current label's last word and re-measures on hover when type shifts.</t>
  </si>
  <si>
    <t>Midjourney</t>
  </si>
  <si>
    <t>Wordmark 'Subscribe' with a small MJ diamond glyph that rotates 360° once on hover over 1200ms with an ease-out quart.</t>
  </si>
  <si>
    <t>Metric</t>
  </si>
  <si>
    <t>Value</t>
  </si>
  <si>
    <t>Total rows</t>
  </si>
  <si>
    <t>Duplicates flagged</t>
  </si>
  <si>
    <t>URLs needing verify</t>
  </si>
  <si>
    <t>— By category —</t>
  </si>
  <si>
    <t>— By tier —</t>
  </si>
  <si>
    <t>Tier S</t>
  </si>
  <si>
    <t>Tier A</t>
  </si>
  <si>
    <t>Tier B</t>
  </si>
  <si>
    <t>— By source stream —</t>
  </si>
  <si>
    <t>Topic</t>
  </si>
  <si>
    <t>Detail</t>
  </si>
  <si>
    <t>Method</t>
  </si>
  <si>
    <t>200 button designs across 4 parallel research streams: Agency/Portfolio, SaaS/Dev Tool, Editorial/Brand, Indie/WebGL. Each stream produced 50 entries with a specific, observable button design — not a generic CTA.</t>
  </si>
  <si>
    <t>Columns</t>
  </si>
  <si>
    <t># / Site Name / URL / Button Concept / Category / Tier (S/A/B) / Source Stream / Notes / Verify?</t>
  </si>
  <si>
    <t>Categories</t>
  </si>
  <si>
    <t>morph, mask-reveal, magnetic, liquid, glitch, cursor-driven, signature-mono, sci-fi, wordmark, custom-shape, fill-wipe, hover-swap, other.</t>
  </si>
  <si>
    <t>Tier scale</t>
  </si>
  <si>
    <t>S = world-class reference (cited heavily, signature interaction). A = strong, distinctive. B = notable, worth a look but not a pinnacle.</t>
  </si>
  <si>
    <t>Yellow rows</t>
  </si>
  <si>
    <t>Rows highlighted in pale yellow are duplicates across streams (same site or same name). The 200 is gross — dedupe to ~190 unique sites if you remove them.</t>
  </si>
  <si>
    <t>VERIFY column</t>
  </si>
  <si>
    <t>URL was unverified at research time (the agent flagged 'verify' rather than guess a URL). These need a manual URL check before shipping.</t>
  </si>
  <si>
    <t>Source streams</t>
  </si>
  <si>
    <t>Agency = studios and Awwwards-tier sites. SaaS = product/dev-tool sites. Editorial = magazines, museums, fashion, type foundries, hospitality. Indie = WebGL, generative, game studio, experimental personal sites.</t>
  </si>
  <si>
    <t>Disclaimers</t>
  </si>
  <si>
    <t>URLs are best-effort from training data and may have rotated. Some 2024-2025 redesigns will have changed CTAs. Spot-check the S-tier rows first.</t>
  </si>
  <si>
    <t>Hyperlinks</t>
  </si>
  <si>
    <t>URL column cells are real Excel hyperlinks (Ctrl/Cmd+Click to open). URLs found inside the Notes column are also hyperlinked and underlined.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</si>
</sst>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D4ED8"/>
    </font>
    <font>
      <b/>
      <color rgb="FFB91C1C"/>
    </font>
    <font>
      <b/>
      <color rgb="FFB45309"/>
    </font>
    <font>
      <b/>
      <color rgb="FF4B5563"/>
    </font>
    <font>
      <name val="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A1B1E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38" customWidth="1"/>
    <col min="4" max="4" width="80" customWidth="1"/>
    <col min="5" max="5" width="16" customWidth="1"/>
    <col min="6" max="6" width="6" customWidth="1"/>
    <col min="7" max="7" width="20" customWidth="1"/>
    <col min="8" max="8" width="50" customWidth="1"/>
    <col min="9" max="9" width="8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3">
        <f>HYPERLINK("https://bruno-simon.com/", "https://bruno-simon.com/")</f>
      </c>
      <c r="D2" s="2" t="s">
        <v>10</v>
      </c>
      <c r="E2" s="2" t="s">
        <v>11</v>
      </c>
      <c r="F2" s="4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>
        <v>2</v>
      </c>
      <c r="B3" s="2" t="s">
        <v>16</v>
      </c>
      <c r="C3" s="3">
        <f>HYPERLINK("https://cron.com", "https://cron.com")</f>
      </c>
      <c r="D3" s="2" t="s">
        <v>17</v>
      </c>
      <c r="E3" s="2" t="s">
        <v>11</v>
      </c>
      <c r="F3" s="4" t="s">
        <v>12</v>
      </c>
      <c r="G3" s="2" t="s">
        <v>18</v>
      </c>
      <c r="H3" s="2" t="s">
        <v>19</v>
      </c>
      <c r="I3" s="2" t="s">
        <v>15</v>
      </c>
    </row>
    <row r="4" spans="1:9" s="2" customFormat="1" x14ac:dyDescent="0.25">
      <c r="A4" s="2">
        <v>3</v>
      </c>
      <c r="B4" s="2" t="s">
        <v>20</v>
      </c>
      <c r="C4" s="3">
        <f>HYPERLINK("https://cursor.com", "https://cursor.com")</f>
      </c>
      <c r="D4" s="2" t="s">
        <v>21</v>
      </c>
      <c r="E4" s="2" t="s">
        <v>11</v>
      </c>
      <c r="F4" s="4" t="s">
        <v>12</v>
      </c>
      <c r="G4" s="2" t="s">
        <v>18</v>
      </c>
      <c r="H4" s="2" t="s">
        <v>22</v>
      </c>
      <c r="I4" s="2" t="s">
        <v>15</v>
      </c>
    </row>
    <row r="5" spans="1:9" s="2" customFormat="1" x14ac:dyDescent="0.25">
      <c r="A5" s="2">
        <v>4</v>
      </c>
      <c r="B5" s="2" t="s">
        <v>23</v>
      </c>
      <c r="C5" s="3">
        <f>HYPERLINK("https://www.mplus.org.hk", "https://www.mplus.org.hk")</f>
      </c>
      <c r="D5" s="2" t="s">
        <v>24</v>
      </c>
      <c r="E5" s="2" t="s">
        <v>11</v>
      </c>
      <c r="F5" s="4" t="s">
        <v>12</v>
      </c>
      <c r="G5" s="2" t="s">
        <v>25</v>
      </c>
      <c r="H5" s="2" t="s">
        <v>26</v>
      </c>
      <c r="I5" s="2" t="s">
        <v>15</v>
      </c>
    </row>
    <row r="6" spans="1:9" s="2" customFormat="1" x14ac:dyDescent="0.25">
      <c r="A6" s="2">
        <v>5</v>
      </c>
      <c r="B6" s="2" t="s">
        <v>27</v>
      </c>
      <c r="C6" s="3">
        <f>HYPERLINK("https://manoella-buffara.com/", "https://manoella-buffara.com/")</f>
      </c>
      <c r="D6" s="2" t="s">
        <v>28</v>
      </c>
      <c r="E6" s="2" t="s">
        <v>11</v>
      </c>
      <c r="F6" s="4" t="s">
        <v>12</v>
      </c>
      <c r="G6" s="2" t="s">
        <v>13</v>
      </c>
      <c r="H6" s="2" t="s">
        <v>29</v>
      </c>
      <c r="I6" s="2" t="s">
        <v>15</v>
      </c>
    </row>
    <row r="7" spans="1:9" s="2" customFormat="1" x14ac:dyDescent="0.25">
      <c r="A7" s="2">
        <v>6</v>
      </c>
      <c r="B7" s="2" t="s">
        <v>30</v>
      </c>
      <c r="C7" s="3">
        <f>HYPERLINK("https://wearesoda.com", "https://wearesoda.com")</f>
      </c>
      <c r="D7" s="2" t="s">
        <v>31</v>
      </c>
      <c r="E7" s="2" t="s">
        <v>11</v>
      </c>
      <c r="F7" s="4" t="s">
        <v>12</v>
      </c>
      <c r="G7" s="2" t="s">
        <v>32</v>
      </c>
      <c r="H7" s="2" t="s">
        <v>33</v>
      </c>
      <c r="I7" s="2" t="s">
        <v>15</v>
      </c>
    </row>
    <row r="8" spans="1:9" s="2" customFormat="1" x14ac:dyDescent="0.25">
      <c r="A8" s="2">
        <v>7</v>
      </c>
      <c r="B8" s="2" t="s">
        <v>34</v>
      </c>
      <c r="C8" s="3">
        <f>HYPERLINK("https://schicker.nl", "https://schicker.nl")</f>
      </c>
      <c r="D8" s="2" t="s">
        <v>35</v>
      </c>
      <c r="E8" s="2" t="s">
        <v>11</v>
      </c>
      <c r="F8" s="4" t="s">
        <v>12</v>
      </c>
      <c r="G8" s="2" t="s">
        <v>32</v>
      </c>
      <c r="H8" s="2" t="s">
        <v>36</v>
      </c>
      <c r="I8" s="2" t="s">
        <v>15</v>
      </c>
    </row>
    <row r="9" spans="1:9" s="2" customFormat="1" x14ac:dyDescent="0.25">
      <c r="A9" s="2">
        <v>8</v>
      </c>
      <c r="B9" s="2" t="s">
        <v>37</v>
      </c>
      <c r="C9" s="3">
        <f>HYPERLINK("https://www.bottegaveneta.com", "https://www.bottegaveneta.com")</f>
      </c>
      <c r="D9" s="2" t="s">
        <v>38</v>
      </c>
      <c r="E9" s="2" t="s">
        <v>11</v>
      </c>
      <c r="F9" s="5" t="s">
        <v>39</v>
      </c>
      <c r="G9" s="2" t="s">
        <v>25</v>
      </c>
      <c r="H9" s="2" t="s">
        <v>40</v>
      </c>
      <c r="I9" s="2" t="s">
        <v>15</v>
      </c>
    </row>
    <row r="10" spans="1:9" s="2" customFormat="1" x14ac:dyDescent="0.25">
      <c r="A10" s="2">
        <v>9</v>
      </c>
      <c r="B10" s="2" t="s">
        <v>41</v>
      </c>
      <c r="C10" s="3">
        <f>HYPERLINK("https://hugo-lin.com/", "https://hugo-lin.com/")</f>
      </c>
      <c r="D10" s="2" t="s">
        <v>42</v>
      </c>
      <c r="E10" s="2" t="s">
        <v>11</v>
      </c>
      <c r="F10" s="5" t="s">
        <v>39</v>
      </c>
      <c r="G10" s="2" t="s">
        <v>13</v>
      </c>
      <c r="H10" s="2" t="s">
        <v>43</v>
      </c>
      <c r="I10" s="2" t="s">
        <v>15</v>
      </c>
    </row>
    <row r="11" spans="1:9" s="6" customFormat="1" x14ac:dyDescent="0.25">
      <c r="A11" s="6">
        <v>10</v>
      </c>
      <c r="B11" s="6" t="s">
        <v>44</v>
      </c>
      <c r="C11" s="7">
        <f>HYPERLINK("https://resn.co.nz/", "https://resn.co.nz/")</f>
      </c>
      <c r="D11" s="6" t="s">
        <v>45</v>
      </c>
      <c r="E11" s="6" t="s">
        <v>11</v>
      </c>
      <c r="F11" s="8" t="s">
        <v>39</v>
      </c>
      <c r="G11" s="6" t="s">
        <v>13</v>
      </c>
      <c r="H11" s="6" t="s">
        <v>46</v>
      </c>
      <c r="I11" s="6" t="s">
        <v>15</v>
      </c>
    </row>
    <row r="12" spans="1:9" s="2" customFormat="1" x14ac:dyDescent="0.25">
      <c r="A12" s="2">
        <v>11</v>
      </c>
      <c r="B12" s="2" t="s">
        <v>47</v>
      </c>
      <c r="C12" s="3">
        <f>HYPERLINK("https://www.awwwards.com/websites/hover/", "https://www.awwwards.com/websites/hover/")</f>
      </c>
      <c r="D12" s="2" t="s">
        <v>48</v>
      </c>
      <c r="E12" s="2" t="s">
        <v>11</v>
      </c>
      <c r="F12" s="9" t="s">
        <v>49</v>
      </c>
      <c r="G12" s="2" t="s">
        <v>13</v>
      </c>
      <c r="H12" s="2" t="s">
        <v>50</v>
      </c>
      <c r="I12" s="2" t="s">
        <v>15</v>
      </c>
    </row>
    <row r="13" spans="1:9" s="6" customFormat="1" x14ac:dyDescent="0.25">
      <c r="A13" s="6">
        <v>12</v>
      </c>
      <c r="B13" s="6" t="s">
        <v>51</v>
      </c>
      <c r="C13" s="6" t="s">
        <v>15</v>
      </c>
      <c r="D13" s="6" t="s">
        <v>52</v>
      </c>
      <c r="E13" s="6" t="s">
        <v>11</v>
      </c>
      <c r="F13" s="10" t="s">
        <v>49</v>
      </c>
      <c r="G13" s="6" t="s">
        <v>13</v>
      </c>
      <c r="H13" s="6" t="s">
        <v>53</v>
      </c>
      <c r="I13" s="6" t="s">
        <v>54</v>
      </c>
    </row>
    <row r="14" spans="1:9" s="2" customFormat="1" x14ac:dyDescent="0.25">
      <c r="A14" s="2">
        <v>13</v>
      </c>
      <c r="B14" s="2" t="s">
        <v>55</v>
      </c>
      <c r="C14" s="3">
        <f>HYPERLINK("https://lunatiki.studio", "https://lunatiki.studio")</f>
      </c>
      <c r="D14" s="2" t="s">
        <v>56</v>
      </c>
      <c r="E14" s="2" t="s">
        <v>11</v>
      </c>
      <c r="F14" s="9" t="s">
        <v>49</v>
      </c>
      <c r="G14" s="2" t="s">
        <v>32</v>
      </c>
      <c r="H14" s="2" t="s">
        <v>57</v>
      </c>
      <c r="I14" s="2" t="s">
        <v>15</v>
      </c>
    </row>
    <row r="15" spans="1:9" s="2" customFormat="1" x14ac:dyDescent="0.25">
      <c r="A15" s="2">
        <v>14</v>
      </c>
      <c r="B15" s="2" t="s">
        <v>58</v>
      </c>
      <c r="C15" s="3">
        <f>HYPERLINK("https://giantant.ca", "https://giantant.ca")</f>
      </c>
      <c r="D15" s="2" t="s">
        <v>59</v>
      </c>
      <c r="E15" s="2" t="s">
        <v>60</v>
      </c>
      <c r="F15" s="4" t="s">
        <v>12</v>
      </c>
      <c r="G15" s="2" t="s">
        <v>32</v>
      </c>
      <c r="H15" s="2" t="s">
        <v>61</v>
      </c>
      <c r="I15" s="2" t="s">
        <v>15</v>
      </c>
    </row>
    <row r="16" spans="1:9" s="2" customFormat="1" x14ac:dyDescent="0.25">
      <c r="A16" s="2">
        <v>15</v>
      </c>
      <c r="B16" s="2" t="s">
        <v>62</v>
      </c>
      <c r="C16" s="3">
        <f>HYPERLINK("https://loewe.tv", "https://loewe.tv")</f>
      </c>
      <c r="D16" s="2" t="s">
        <v>63</v>
      </c>
      <c r="E16" s="2" t="s">
        <v>60</v>
      </c>
      <c r="F16" s="4" t="s">
        <v>12</v>
      </c>
      <c r="G16" s="2" t="s">
        <v>32</v>
      </c>
      <c r="H16" s="2" t="s">
        <v>64</v>
      </c>
      <c r="I16" s="2" t="s">
        <v>15</v>
      </c>
    </row>
    <row r="17" spans="1:9" s="2" customFormat="1" x14ac:dyDescent="0.25">
      <c r="A17" s="2">
        <v>16</v>
      </c>
      <c r="B17" s="2" t="s">
        <v>65</v>
      </c>
      <c r="C17" s="3">
        <f>HYPERLINK("https://www.macguffinmag.com", "https://www.macguffinmag.com")</f>
      </c>
      <c r="D17" s="2" t="s">
        <v>66</v>
      </c>
      <c r="E17" s="2" t="s">
        <v>60</v>
      </c>
      <c r="F17" s="4" t="s">
        <v>12</v>
      </c>
      <c r="G17" s="2" t="s">
        <v>25</v>
      </c>
      <c r="H17" s="2" t="s">
        <v>67</v>
      </c>
      <c r="I17" s="2" t="s">
        <v>15</v>
      </c>
    </row>
    <row r="18" spans="1:9" s="2" customFormat="1" x14ac:dyDescent="0.25">
      <c r="A18" s="2">
        <v>17</v>
      </c>
      <c r="B18" s="2" t="s">
        <v>68</v>
      </c>
      <c r="C18" s="3">
        <f>HYPERLINK("https://www.maisonmargiela.com", "https://www.maisonmargiela.com")</f>
      </c>
      <c r="D18" s="2" t="s">
        <v>69</v>
      </c>
      <c r="E18" s="2" t="s">
        <v>60</v>
      </c>
      <c r="F18" s="4" t="s">
        <v>12</v>
      </c>
      <c r="G18" s="2" t="s">
        <v>25</v>
      </c>
      <c r="H18" s="2" t="s">
        <v>70</v>
      </c>
      <c r="I18" s="2" t="s">
        <v>15</v>
      </c>
    </row>
    <row r="19" spans="1:9" s="2" customFormat="1" x14ac:dyDescent="0.25">
      <c r="A19" s="2">
        <v>18</v>
      </c>
      <c r="B19" s="2" t="s">
        <v>71</v>
      </c>
      <c r="C19" s="3">
        <f>HYPERLINK("https://raycast.com", "https://raycast.com")</f>
      </c>
      <c r="D19" s="2" t="s">
        <v>72</v>
      </c>
      <c r="E19" s="2" t="s">
        <v>60</v>
      </c>
      <c r="F19" s="4" t="s">
        <v>12</v>
      </c>
      <c r="G19" s="2" t="s">
        <v>18</v>
      </c>
      <c r="H19" s="2" t="s">
        <v>73</v>
      </c>
      <c r="I19" s="2" t="s">
        <v>15</v>
      </c>
    </row>
    <row r="20" spans="1:9" s="6" customFormat="1" x14ac:dyDescent="0.25">
      <c r="A20" s="6">
        <v>19</v>
      </c>
      <c r="B20" s="6" t="s">
        <v>74</v>
      </c>
      <c r="C20" s="7">
        <f>HYPERLINK("https://resn.co.nz", "https://resn.co.nz")</f>
      </c>
      <c r="D20" s="6" t="s">
        <v>75</v>
      </c>
      <c r="E20" s="6" t="s">
        <v>60</v>
      </c>
      <c r="F20" s="11" t="s">
        <v>12</v>
      </c>
      <c r="G20" s="6" t="s">
        <v>32</v>
      </c>
      <c r="H20" s="6" t="s">
        <v>76</v>
      </c>
      <c r="I20" s="6" t="s">
        <v>15</v>
      </c>
    </row>
    <row r="21" spans="1:9" s="2" customFormat="1" x14ac:dyDescent="0.25">
      <c r="A21" s="2">
        <v>20</v>
      </c>
      <c r="B21" s="2" t="s">
        <v>77</v>
      </c>
      <c r="C21" s="3">
        <f>HYPERLINK("https://sound.xyz/", "https://sound.xyz/")</f>
      </c>
      <c r="D21" s="2" t="s">
        <v>78</v>
      </c>
      <c r="E21" s="2" t="s">
        <v>60</v>
      </c>
      <c r="F21" s="4" t="s">
        <v>12</v>
      </c>
      <c r="G21" s="2" t="s">
        <v>13</v>
      </c>
      <c r="H21" s="2" t="s">
        <v>79</v>
      </c>
      <c r="I21" s="2" t="s">
        <v>15</v>
      </c>
    </row>
    <row r="22" spans="1:9" s="2" customFormat="1" x14ac:dyDescent="0.25">
      <c r="A22" s="2">
        <v>21</v>
      </c>
      <c r="B22" s="2" t="s">
        <v>80</v>
      </c>
      <c r="C22" s="3">
        <f>HYPERLINK("https://supergiantgames.com/games/hades-ii", "https://supergiantgames.com/games/hades-ii")</f>
      </c>
      <c r="D22" s="2" t="s">
        <v>81</v>
      </c>
      <c r="E22" s="2" t="s">
        <v>60</v>
      </c>
      <c r="F22" s="4" t="s">
        <v>12</v>
      </c>
      <c r="G22" s="2" t="s">
        <v>13</v>
      </c>
      <c r="H22" s="2" t="s">
        <v>82</v>
      </c>
      <c r="I22" s="2" t="s">
        <v>15</v>
      </c>
    </row>
    <row r="23" spans="1:9" s="2" customFormat="1" x14ac:dyDescent="0.25">
      <c r="A23" s="2">
        <v>22</v>
      </c>
      <c r="B23" s="2" t="s">
        <v>83</v>
      </c>
      <c r="C23" s="3">
        <f>HYPERLINK("https://toolofna.com", "https://toolofna.com")</f>
      </c>
      <c r="D23" s="2" t="s">
        <v>84</v>
      </c>
      <c r="E23" s="2" t="s">
        <v>60</v>
      </c>
      <c r="F23" s="4" t="s">
        <v>12</v>
      </c>
      <c r="G23" s="2" t="s">
        <v>32</v>
      </c>
      <c r="H23" s="2" t="s">
        <v>85</v>
      </c>
      <c r="I23" s="2" t="s">
        <v>15</v>
      </c>
    </row>
    <row r="24" spans="1:9" s="2" customFormat="1" x14ac:dyDescent="0.25">
      <c r="A24" s="2">
        <v>23</v>
      </c>
      <c r="B24" s="2" t="s">
        <v>86</v>
      </c>
      <c r="C24" s="3">
        <f>HYPERLINK("https://www.caustic.no/", "https://www.caustic.no/")</f>
      </c>
      <c r="D24" s="2" t="s">
        <v>87</v>
      </c>
      <c r="E24" s="2" t="s">
        <v>60</v>
      </c>
      <c r="F24" s="5" t="s">
        <v>39</v>
      </c>
      <c r="G24" s="2" t="s">
        <v>13</v>
      </c>
      <c r="H24" s="2" t="s">
        <v>88</v>
      </c>
      <c r="I24" s="2" t="s">
        <v>15</v>
      </c>
    </row>
    <row r="25" spans="1:9" s="2" customFormat="1" x14ac:dyDescent="0.25">
      <c r="A25" s="2">
        <v>24</v>
      </c>
      <c r="B25" s="2" t="s">
        <v>89</v>
      </c>
      <c r="C25" s="3">
        <f>HYPERLINK("https://www.centrepompidou.fr", "https://www.centrepompidou.fr")</f>
      </c>
      <c r="D25" s="2" t="s">
        <v>90</v>
      </c>
      <c r="E25" s="2" t="s">
        <v>60</v>
      </c>
      <c r="F25" s="5" t="s">
        <v>39</v>
      </c>
      <c r="G25" s="2" t="s">
        <v>25</v>
      </c>
      <c r="H25" s="2" t="s">
        <v>91</v>
      </c>
      <c r="I25" s="2" t="s">
        <v>15</v>
      </c>
    </row>
    <row r="26" spans="1:9" s="2" customFormat="1" x14ac:dyDescent="0.25">
      <c r="A26" s="2">
        <v>25</v>
      </c>
      <c r="B26" s="2" t="s">
        <v>92</v>
      </c>
      <c r="C26" s="3">
        <f>HYPERLINK("https://clonex.rtfkt.com/", "https://clonex.rtfkt.com/")</f>
      </c>
      <c r="D26" s="2" t="s">
        <v>93</v>
      </c>
      <c r="E26" s="2" t="s">
        <v>60</v>
      </c>
      <c r="F26" s="5" t="s">
        <v>39</v>
      </c>
      <c r="G26" s="2" t="s">
        <v>13</v>
      </c>
      <c r="H26" s="2" t="s">
        <v>94</v>
      </c>
      <c r="I26" s="2" t="s">
        <v>15</v>
      </c>
    </row>
    <row r="27" spans="1:9" s="2" customFormat="1" x14ac:dyDescent="0.25">
      <c r="A27" s="2">
        <v>26</v>
      </c>
      <c r="B27" s="2" t="s">
        <v>95</v>
      </c>
      <c r="C27" s="3">
        <f>HYPERLINK("https://elevenlabs.io", "https://elevenlabs.io")</f>
      </c>
      <c r="D27" s="2" t="s">
        <v>96</v>
      </c>
      <c r="E27" s="2" t="s">
        <v>60</v>
      </c>
      <c r="F27" s="5" t="s">
        <v>39</v>
      </c>
      <c r="G27" s="2" t="s">
        <v>18</v>
      </c>
      <c r="H27" s="2" t="s">
        <v>97</v>
      </c>
      <c r="I27" s="2" t="s">
        <v>15</v>
      </c>
    </row>
    <row r="28" spans="1:9" s="6" customFormat="1" x14ac:dyDescent="0.25">
      <c r="A28" s="6">
        <v>27</v>
      </c>
      <c r="B28" s="6" t="s">
        <v>98</v>
      </c>
      <c r="C28" s="7">
        <f>HYPERLINK("https://www.pentagram.com/", "https://www.pentagram.com/")</f>
      </c>
      <c r="D28" s="6" t="s">
        <v>99</v>
      </c>
      <c r="E28" s="6" t="s">
        <v>60</v>
      </c>
      <c r="F28" s="8" t="s">
        <v>39</v>
      </c>
      <c r="G28" s="6" t="s">
        <v>13</v>
      </c>
      <c r="H28" s="6" t="s">
        <v>100</v>
      </c>
      <c r="I28" s="6" t="s">
        <v>15</v>
      </c>
    </row>
    <row r="29" spans="1:9" s="2" customFormat="1" x14ac:dyDescent="0.25">
      <c r="A29" s="2">
        <v>28</v>
      </c>
      <c r="B29" s="2" t="s">
        <v>101</v>
      </c>
      <c r="C29" s="3">
        <f>HYPERLINK("https://sons-of-sam.studio", "https://sons-of-sam.studio")</f>
      </c>
      <c r="D29" s="2" t="s">
        <v>102</v>
      </c>
      <c r="E29" s="2" t="s">
        <v>60</v>
      </c>
      <c r="F29" s="5" t="s">
        <v>39</v>
      </c>
      <c r="G29" s="2" t="s">
        <v>32</v>
      </c>
      <c r="H29" s="2" t="s">
        <v>103</v>
      </c>
      <c r="I29" s="2" t="s">
        <v>15</v>
      </c>
    </row>
    <row r="30" spans="1:9" s="2" customFormat="1" x14ac:dyDescent="0.25">
      <c r="A30" s="2">
        <v>29</v>
      </c>
      <c r="B30" s="2" t="s">
        <v>104</v>
      </c>
      <c r="C30" s="3">
        <f>HYPERLINK("https://www.thebeliever.net", "https://www.thebeliever.net")</f>
      </c>
      <c r="D30" s="2" t="s">
        <v>105</v>
      </c>
      <c r="E30" s="2" t="s">
        <v>60</v>
      </c>
      <c r="F30" s="5" t="s">
        <v>39</v>
      </c>
      <c r="G30" s="2" t="s">
        <v>25</v>
      </c>
      <c r="H30" s="2" t="s">
        <v>106</v>
      </c>
      <c r="I30" s="2" t="s">
        <v>15</v>
      </c>
    </row>
    <row r="31" spans="1:9" s="6" customFormat="1" x14ac:dyDescent="0.25">
      <c r="A31" s="6">
        <v>30</v>
      </c>
      <c r="B31" s="6" t="s">
        <v>107</v>
      </c>
      <c r="C31" s="6" t="s">
        <v>15</v>
      </c>
      <c r="D31" s="6" t="s">
        <v>108</v>
      </c>
      <c r="E31" s="6" t="s">
        <v>60</v>
      </c>
      <c r="F31" s="10" t="s">
        <v>49</v>
      </c>
      <c r="G31" s="6" t="s">
        <v>13</v>
      </c>
      <c r="H31" s="6" t="s">
        <v>109</v>
      </c>
      <c r="I31" s="6" t="s">
        <v>54</v>
      </c>
    </row>
    <row r="32" spans="1:9" s="2" customFormat="1" x14ac:dyDescent="0.25">
      <c r="A32" s="2">
        <v>31</v>
      </c>
      <c r="B32" s="2" t="s">
        <v>110</v>
      </c>
      <c r="C32" s="3">
        <f>HYPERLINK("https://stripe.com/atlas", "https://stripe.com/atlas")</f>
      </c>
      <c r="D32" s="2" t="s">
        <v>111</v>
      </c>
      <c r="E32" s="2" t="s">
        <v>60</v>
      </c>
      <c r="F32" s="9" t="s">
        <v>49</v>
      </c>
      <c r="G32" s="2" t="s">
        <v>18</v>
      </c>
      <c r="H32" s="2" t="s">
        <v>112</v>
      </c>
      <c r="I32" s="2" t="s">
        <v>15</v>
      </c>
    </row>
    <row r="33" spans="1:9" s="2" customFormat="1" x14ac:dyDescent="0.25">
      <c r="A33" s="2">
        <v>32</v>
      </c>
      <c r="B33" s="2" t="s">
        <v>113</v>
      </c>
      <c r="C33" s="3">
        <f>HYPERLINK("https://uniswap.org", "https://uniswap.org")</f>
      </c>
      <c r="D33" s="2" t="s">
        <v>114</v>
      </c>
      <c r="E33" s="2" t="s">
        <v>60</v>
      </c>
      <c r="F33" s="9" t="s">
        <v>49</v>
      </c>
      <c r="G33" s="2" t="s">
        <v>18</v>
      </c>
      <c r="H33" s="2" t="s">
        <v>115</v>
      </c>
      <c r="I33" s="2" t="s">
        <v>15</v>
      </c>
    </row>
    <row r="34" spans="1:9" s="2" customFormat="1" x14ac:dyDescent="0.25">
      <c r="A34" s="2">
        <v>33</v>
      </c>
      <c r="B34" s="2" t="s">
        <v>116</v>
      </c>
      <c r="C34" s="3">
        <f>HYPERLINK("https://www.032c.com", "https://www.032c.com")</f>
      </c>
      <c r="D34" s="2" t="s">
        <v>117</v>
      </c>
      <c r="E34" s="2" t="s">
        <v>118</v>
      </c>
      <c r="F34" s="5" t="s">
        <v>39</v>
      </c>
      <c r="G34" s="2" t="s">
        <v>25</v>
      </c>
      <c r="H34" s="2" t="s">
        <v>119</v>
      </c>
      <c r="I34" s="2" t="s">
        <v>15</v>
      </c>
    </row>
    <row r="35" spans="1:9" s="2" customFormat="1" x14ac:dyDescent="0.25">
      <c r="A35" s="2">
        <v>34</v>
      </c>
      <c r="B35" s="2" t="s">
        <v>120</v>
      </c>
      <c r="C35" s="3">
        <f>HYPERLINK("https://www.apartamentomagazine.com", "https://www.apartamentomagazine.com")</f>
      </c>
      <c r="D35" s="2" t="s">
        <v>121</v>
      </c>
      <c r="E35" s="2" t="s">
        <v>118</v>
      </c>
      <c r="F35" s="5" t="s">
        <v>39</v>
      </c>
      <c r="G35" s="2" t="s">
        <v>25</v>
      </c>
      <c r="H35" s="2" t="s">
        <v>122</v>
      </c>
      <c r="I35" s="2" t="s">
        <v>15</v>
      </c>
    </row>
    <row r="36" spans="1:9" s="2" customFormat="1" x14ac:dyDescent="0.25">
      <c r="A36" s="2">
        <v>35</v>
      </c>
      <c r="B36" s="2" t="s">
        <v>123</v>
      </c>
      <c r="C36" s="3">
        <f>HYPERLINK("https://blockandtackle.studio", "https://blockandtackle.studio")</f>
      </c>
      <c r="D36" s="2" t="s">
        <v>124</v>
      </c>
      <c r="E36" s="2" t="s">
        <v>118</v>
      </c>
      <c r="F36" s="5" t="s">
        <v>39</v>
      </c>
      <c r="G36" s="2" t="s">
        <v>32</v>
      </c>
      <c r="H36" s="2" t="s">
        <v>125</v>
      </c>
      <c r="I36" s="2" t="s">
        <v>15</v>
      </c>
    </row>
    <row r="37" spans="1:9" s="6" customFormat="1" x14ac:dyDescent="0.25">
      <c r="A37" s="6">
        <v>36</v>
      </c>
      <c r="B37" s="6" t="s">
        <v>126</v>
      </c>
      <c r="C37" s="7">
        <f>HYPERLINK("https://foundation.app/", "https://foundation.app/")</f>
      </c>
      <c r="D37" s="6" t="s">
        <v>127</v>
      </c>
      <c r="E37" s="6" t="s">
        <v>118</v>
      </c>
      <c r="F37" s="8" t="s">
        <v>39</v>
      </c>
      <c r="G37" s="6" t="s">
        <v>13</v>
      </c>
      <c r="H37" s="6" t="s">
        <v>128</v>
      </c>
      <c r="I37" s="6" t="s">
        <v>15</v>
      </c>
    </row>
    <row r="38" spans="1:9" s="6" customFormat="1" x14ac:dyDescent="0.25">
      <c r="A38" s="6">
        <v>37</v>
      </c>
      <c r="B38" s="6" t="s">
        <v>129</v>
      </c>
      <c r="C38" s="7">
        <f>HYPERLINK("https://kadenwood.com/", "https://kadenwood.com/")</f>
      </c>
      <c r="D38" s="6" t="s">
        <v>130</v>
      </c>
      <c r="E38" s="6" t="s">
        <v>118</v>
      </c>
      <c r="F38" s="8" t="s">
        <v>39</v>
      </c>
      <c r="G38" s="6" t="s">
        <v>13</v>
      </c>
      <c r="H38" s="6" t="s">
        <v>131</v>
      </c>
      <c r="I38" s="6" t="s">
        <v>15</v>
      </c>
    </row>
    <row r="39" spans="1:9" s="6" customFormat="1" x14ac:dyDescent="0.25">
      <c r="A39" s="6">
        <v>38</v>
      </c>
      <c r="B39" s="6" t="s">
        <v>132</v>
      </c>
      <c r="C39" s="7">
        <f>HYPERLINK("https://kadenwood.com/", "https://kadenwood.com/")</f>
      </c>
      <c r="D39" s="6" t="s">
        <v>133</v>
      </c>
      <c r="E39" s="6" t="s">
        <v>118</v>
      </c>
      <c r="F39" s="8" t="s">
        <v>39</v>
      </c>
      <c r="G39" s="6" t="s">
        <v>13</v>
      </c>
      <c r="H39" s="6" t="s">
        <v>134</v>
      </c>
      <c r="I39" s="6" t="s">
        <v>15</v>
      </c>
    </row>
    <row r="40" spans="1:9" s="2" customFormat="1" x14ac:dyDescent="0.25">
      <c r="A40" s="2">
        <v>39</v>
      </c>
      <c r="B40" s="2" t="s">
        <v>135</v>
      </c>
      <c r="C40" s="3">
        <f>HYPERLINK("https://www.ysl.com", "https://www.ysl.com")</f>
      </c>
      <c r="D40" s="2" t="s">
        <v>136</v>
      </c>
      <c r="E40" s="2" t="s">
        <v>118</v>
      </c>
      <c r="F40" s="5" t="s">
        <v>39</v>
      </c>
      <c r="G40" s="2" t="s">
        <v>25</v>
      </c>
      <c r="H40" s="2" t="s">
        <v>137</v>
      </c>
      <c r="I40" s="2" t="s">
        <v>15</v>
      </c>
    </row>
    <row r="41" spans="1:9" s="2" customFormat="1" x14ac:dyDescent="0.25">
      <c r="A41" s="2">
        <v>40</v>
      </c>
      <c r="B41" s="2" t="s">
        <v>138</v>
      </c>
      <c r="C41" s="3">
        <f>HYPERLINK("https://stripe.com", "https://stripe.com")</f>
      </c>
      <c r="D41" s="2" t="s">
        <v>139</v>
      </c>
      <c r="E41" s="2" t="s">
        <v>118</v>
      </c>
      <c r="F41" s="5" t="s">
        <v>39</v>
      </c>
      <c r="G41" s="2" t="s">
        <v>18</v>
      </c>
      <c r="H41" s="2" t="s">
        <v>140</v>
      </c>
      <c r="I41" s="2" t="s">
        <v>15</v>
      </c>
    </row>
    <row r="42" spans="1:9" s="2" customFormat="1" x14ac:dyDescent="0.25">
      <c r="A42" s="2">
        <v>41</v>
      </c>
      <c r="B42" s="2" t="s">
        <v>141</v>
      </c>
      <c r="C42" s="3">
        <f>HYPERLINK("https://causal.app", "https://causal.app")</f>
      </c>
      <c r="D42" s="2" t="s">
        <v>142</v>
      </c>
      <c r="E42" s="2" t="s">
        <v>118</v>
      </c>
      <c r="F42" s="9" t="s">
        <v>49</v>
      </c>
      <c r="G42" s="2" t="s">
        <v>18</v>
      </c>
      <c r="H42" s="2" t="s">
        <v>143</v>
      </c>
      <c r="I42" s="2" t="s">
        <v>15</v>
      </c>
    </row>
    <row r="43" spans="1:9" s="2" customFormat="1" x14ac:dyDescent="0.25">
      <c r="A43" s="2">
        <v>42</v>
      </c>
      <c r="B43" s="2" t="s">
        <v>144</v>
      </c>
      <c r="C43" s="3">
        <f>HYPERLINK("https://www.cosstores.com", "https://www.cosstores.com")</f>
      </c>
      <c r="D43" s="2" t="s">
        <v>145</v>
      </c>
      <c r="E43" s="2" t="s">
        <v>118</v>
      </c>
      <c r="F43" s="9" t="s">
        <v>49</v>
      </c>
      <c r="G43" s="2" t="s">
        <v>25</v>
      </c>
      <c r="H43" s="2" t="s">
        <v>146</v>
      </c>
      <c r="I43" s="2" t="s">
        <v>15</v>
      </c>
    </row>
    <row r="44" spans="1:9" s="2" customFormat="1" x14ac:dyDescent="0.25">
      <c r="A44" s="2">
        <v>43</v>
      </c>
      <c r="B44" s="2" t="s">
        <v>147</v>
      </c>
      <c r="C44" s="3">
        <f>HYPERLINK("https://manual.ink", "https://manual.ink")</f>
      </c>
      <c r="D44" s="2" t="s">
        <v>148</v>
      </c>
      <c r="E44" s="2" t="s">
        <v>118</v>
      </c>
      <c r="F44" s="9" t="s">
        <v>49</v>
      </c>
      <c r="G44" s="2" t="s">
        <v>32</v>
      </c>
      <c r="H44" s="2" t="s">
        <v>149</v>
      </c>
      <c r="I44" s="2" t="s">
        <v>15</v>
      </c>
    </row>
    <row r="45" spans="1:9" s="2" customFormat="1" x14ac:dyDescent="0.25">
      <c r="A45" s="2">
        <v>44</v>
      </c>
      <c r="B45" s="2" t="s">
        <v>150</v>
      </c>
      <c r="C45" s="3">
        <f>HYPERLINK("https://www.mirazur.fr", "https://www.mirazur.fr")</f>
      </c>
      <c r="D45" s="2" t="s">
        <v>151</v>
      </c>
      <c r="E45" s="2" t="s">
        <v>118</v>
      </c>
      <c r="F45" s="9" t="s">
        <v>49</v>
      </c>
      <c r="G45" s="2" t="s">
        <v>25</v>
      </c>
      <c r="H45" s="2" t="s">
        <v>152</v>
      </c>
      <c r="I45" s="2" t="s">
        <v>15</v>
      </c>
    </row>
    <row r="46" spans="1:9" s="2" customFormat="1" x14ac:dyDescent="0.25">
      <c r="A46" s="2">
        <v>45</v>
      </c>
      <c r="B46" s="2" t="s">
        <v>153</v>
      </c>
      <c r="C46" s="3">
        <f>HYPERLINK("https://mood.studio", "https://mood.studio")</f>
      </c>
      <c r="D46" s="2" t="s">
        <v>154</v>
      </c>
      <c r="E46" s="2" t="s">
        <v>118</v>
      </c>
      <c r="F46" s="9" t="s">
        <v>49</v>
      </c>
      <c r="G46" s="2" t="s">
        <v>32</v>
      </c>
      <c r="H46" s="2" t="s">
        <v>155</v>
      </c>
      <c r="I46" s="2" t="s">
        <v>15</v>
      </c>
    </row>
    <row r="47" spans="1:9" s="2" customFormat="1" x14ac:dyDescent="0.25">
      <c r="A47" s="2">
        <v>46</v>
      </c>
      <c r="B47" s="2" t="s">
        <v>156</v>
      </c>
      <c r="C47" s="3">
        <f>HYPERLINK("https://rainbow.me", "https://rainbow.me")</f>
      </c>
      <c r="D47" s="2" t="s">
        <v>157</v>
      </c>
      <c r="E47" s="2" t="s">
        <v>118</v>
      </c>
      <c r="F47" s="9" t="s">
        <v>49</v>
      </c>
      <c r="G47" s="2" t="s">
        <v>18</v>
      </c>
      <c r="H47" s="2" t="s">
        <v>158</v>
      </c>
      <c r="I47" s="2" t="s">
        <v>15</v>
      </c>
    </row>
    <row r="48" spans="1:9" s="2" customFormat="1" x14ac:dyDescent="0.25">
      <c r="A48" s="2">
        <v>47</v>
      </c>
      <c r="B48" s="2" t="s">
        <v>159</v>
      </c>
      <c r="C48" s="3">
        <f>HYPERLINK("https://b-reel.com", "https://b-reel.com")</f>
      </c>
      <c r="D48" s="2" t="s">
        <v>160</v>
      </c>
      <c r="E48" s="2" t="s">
        <v>161</v>
      </c>
      <c r="F48" s="4" t="s">
        <v>12</v>
      </c>
      <c r="G48" s="2" t="s">
        <v>32</v>
      </c>
      <c r="H48" s="2" t="s">
        <v>162</v>
      </c>
      <c r="I48" s="2" t="s">
        <v>15</v>
      </c>
    </row>
    <row r="49" spans="1:9" s="2" customFormat="1" x14ac:dyDescent="0.25">
      <c r="A49" s="2">
        <v>48</v>
      </c>
      <c r="B49" s="2" t="s">
        <v>163</v>
      </c>
      <c r="C49" s="3">
        <f>HYPERLINK("https://basement.studio", "https://basement.studio")</f>
      </c>
      <c r="D49" s="2" t="s">
        <v>164</v>
      </c>
      <c r="E49" s="2" t="s">
        <v>161</v>
      </c>
      <c r="F49" s="4" t="s">
        <v>12</v>
      </c>
      <c r="G49" s="2" t="s">
        <v>32</v>
      </c>
      <c r="H49" s="2" t="s">
        <v>165</v>
      </c>
      <c r="I49" s="2" t="s">
        <v>15</v>
      </c>
    </row>
    <row r="50" spans="1:9" s="2" customFormat="1" x14ac:dyDescent="0.25">
      <c r="A50" s="2">
        <v>49</v>
      </c>
      <c r="B50" s="2" t="s">
        <v>166</v>
      </c>
      <c r="C50" s="3">
        <f>HYPERLINK("https://www.dinamo.de", "https://www.dinamo.de")</f>
      </c>
      <c r="D50" s="2" t="s">
        <v>167</v>
      </c>
      <c r="E50" s="2" t="s">
        <v>161</v>
      </c>
      <c r="F50" s="4" t="s">
        <v>12</v>
      </c>
      <c r="G50" s="2" t="s">
        <v>25</v>
      </c>
      <c r="H50" s="2" t="s">
        <v>168</v>
      </c>
      <c r="I50" s="2" t="s">
        <v>15</v>
      </c>
    </row>
    <row r="51" spans="1:9" s="2" customFormat="1" x14ac:dyDescent="0.25">
      <c r="A51" s="2">
        <v>50</v>
      </c>
      <c r="B51" s="2" t="s">
        <v>169</v>
      </c>
      <c r="C51" s="3">
        <f>HYPERLINK("https://attic.studio", "https://attic.studio")</f>
      </c>
      <c r="D51" s="2" t="s">
        <v>170</v>
      </c>
      <c r="E51" s="2" t="s">
        <v>161</v>
      </c>
      <c r="F51" s="5" t="s">
        <v>39</v>
      </c>
      <c r="G51" s="2" t="s">
        <v>32</v>
      </c>
      <c r="H51" s="2" t="s">
        <v>171</v>
      </c>
      <c r="I51" s="2" t="s">
        <v>15</v>
      </c>
    </row>
    <row r="52" spans="1:9" s="2" customFormat="1" x14ac:dyDescent="0.25">
      <c r="A52" s="2">
        <v>51</v>
      </c>
      <c r="B52" s="2" t="s">
        <v>172</v>
      </c>
      <c r="C52" s="3">
        <f>HYPERLINK("https://www.auralee.jp", "https://www.auralee.jp")</f>
      </c>
      <c r="D52" s="2" t="s">
        <v>173</v>
      </c>
      <c r="E52" s="2" t="s">
        <v>161</v>
      </c>
      <c r="F52" s="5" t="s">
        <v>39</v>
      </c>
      <c r="G52" s="2" t="s">
        <v>25</v>
      </c>
      <c r="H52" s="2" t="s">
        <v>174</v>
      </c>
      <c r="I52" s="2" t="s">
        <v>15</v>
      </c>
    </row>
    <row r="53" spans="1:9" s="2" customFormat="1" x14ac:dyDescent="0.25">
      <c r="A53" s="2">
        <v>52</v>
      </c>
      <c r="B53" s="2" t="s">
        <v>175</v>
      </c>
      <c r="C53" s="3">
        <f>HYPERLINK("https://www.cyberpunk.net/", "https://www.cyberpunk.net/")</f>
      </c>
      <c r="D53" s="2" t="s">
        <v>176</v>
      </c>
      <c r="E53" s="2" t="s">
        <v>161</v>
      </c>
      <c r="F53" s="5" t="s">
        <v>39</v>
      </c>
      <c r="G53" s="2" t="s">
        <v>13</v>
      </c>
      <c r="H53" s="2" t="s">
        <v>177</v>
      </c>
      <c r="I53" s="2" t="s">
        <v>15</v>
      </c>
    </row>
    <row r="54" spans="1:9" s="2" customFormat="1" x14ac:dyDescent="0.25">
      <c r="A54" s="2">
        <v>53</v>
      </c>
      <c r="B54" s="2" t="s">
        <v>178</v>
      </c>
      <c r="C54" s="3">
        <f>HYPERLINK("https://tympanus.net/codrops/2023/01/05/inspirational-websites-roundup/", "https://tympanus.net/codrops/2023/01/05/inspirational-websites-roundup/")</f>
      </c>
      <c r="D54" s="2" t="s">
        <v>179</v>
      </c>
      <c r="E54" s="2" t="s">
        <v>161</v>
      </c>
      <c r="F54" s="5" t="s">
        <v>39</v>
      </c>
      <c r="G54" s="2" t="s">
        <v>13</v>
      </c>
      <c r="H54" s="2" t="s">
        <v>180</v>
      </c>
      <c r="I54" s="2" t="s">
        <v>15</v>
      </c>
    </row>
    <row r="55" spans="1:9" s="2" customFormat="1" x14ac:dyDescent="0.25">
      <c r="A55" s="2">
        <v>54</v>
      </c>
      <c r="B55" s="2" t="s">
        <v>181</v>
      </c>
      <c r="C55" s="3">
        <f>HYPERLINK("https://dunderville.com", "https://dunderville.com")</f>
      </c>
      <c r="D55" s="2" t="s">
        <v>182</v>
      </c>
      <c r="E55" s="2" t="s">
        <v>161</v>
      </c>
      <c r="F55" s="5" t="s">
        <v>39</v>
      </c>
      <c r="G55" s="2" t="s">
        <v>32</v>
      </c>
      <c r="H55" s="2" t="s">
        <v>183</v>
      </c>
      <c r="I55" s="2" t="s">
        <v>15</v>
      </c>
    </row>
    <row r="56" spans="1:9" s="2" customFormat="1" x14ac:dyDescent="0.25">
      <c r="A56" s="2">
        <v>55</v>
      </c>
      <c r="B56" s="2" t="s">
        <v>184</v>
      </c>
      <c r="C56" s="3">
        <f>HYPERLINK("https://www.fxhash.xyz/", "https://www.fxhash.xyz/")</f>
      </c>
      <c r="D56" s="2" t="s">
        <v>185</v>
      </c>
      <c r="E56" s="2" t="s">
        <v>161</v>
      </c>
      <c r="F56" s="5" t="s">
        <v>39</v>
      </c>
      <c r="G56" s="2" t="s">
        <v>13</v>
      </c>
      <c r="H56" s="2" t="s">
        <v>186</v>
      </c>
      <c r="I56" s="2" t="s">
        <v>15</v>
      </c>
    </row>
    <row r="57" spans="1:9" s="2" customFormat="1" x14ac:dyDescent="0.25">
      <c r="A57" s="2">
        <v>56</v>
      </c>
      <c r="B57" s="2" t="s">
        <v>187</v>
      </c>
      <c r="C57" s="3">
        <f>HYPERLINK("https://loom.com", "https://loom.com")</f>
      </c>
      <c r="D57" s="2" t="s">
        <v>188</v>
      </c>
      <c r="E57" s="2" t="s">
        <v>161</v>
      </c>
      <c r="F57" s="5" t="s">
        <v>39</v>
      </c>
      <c r="G57" s="2" t="s">
        <v>18</v>
      </c>
      <c r="H57" s="2" t="s">
        <v>189</v>
      </c>
      <c r="I57" s="2" t="s">
        <v>15</v>
      </c>
    </row>
    <row r="58" spans="1:9" s="2" customFormat="1" x14ac:dyDescent="0.25">
      <c r="A58" s="2">
        <v>57</v>
      </c>
      <c r="B58" s="2" t="s">
        <v>190</v>
      </c>
      <c r="C58" s="3">
        <f>HYPERLINK("https://panic.com/", "https://panic.com/")</f>
      </c>
      <c r="D58" s="2" t="s">
        <v>191</v>
      </c>
      <c r="E58" s="2" t="s">
        <v>161</v>
      </c>
      <c r="F58" s="5" t="s">
        <v>39</v>
      </c>
      <c r="G58" s="2" t="s">
        <v>13</v>
      </c>
      <c r="H58" s="2" t="s">
        <v>192</v>
      </c>
      <c r="I58" s="2" t="s">
        <v>15</v>
      </c>
    </row>
    <row r="59" spans="1:9" s="2" customFormat="1" x14ac:dyDescent="0.25">
      <c r="A59" s="2">
        <v>58</v>
      </c>
      <c r="B59" s="2" t="s">
        <v>193</v>
      </c>
      <c r="C59" s="3">
        <f>HYPERLINK("https://perplexity.ai", "https://perplexity.ai")</f>
      </c>
      <c r="D59" s="2" t="s">
        <v>194</v>
      </c>
      <c r="E59" s="2" t="s">
        <v>161</v>
      </c>
      <c r="F59" s="5" t="s">
        <v>39</v>
      </c>
      <c r="G59" s="2" t="s">
        <v>18</v>
      </c>
      <c r="H59" s="2" t="s">
        <v>195</v>
      </c>
      <c r="I59" s="2" t="s">
        <v>15</v>
      </c>
    </row>
    <row r="60" spans="1:9" s="2" customFormat="1" x14ac:dyDescent="0.25">
      <c r="A60" s="2">
        <v>59</v>
      </c>
      <c r="B60" s="2" t="s">
        <v>196</v>
      </c>
      <c r="C60" s="3">
        <f>HYPERLINK("https://www.plau.co", "https://www.plau.co")</f>
      </c>
      <c r="D60" s="2" t="s">
        <v>197</v>
      </c>
      <c r="E60" s="2" t="s">
        <v>161</v>
      </c>
      <c r="F60" s="5" t="s">
        <v>39</v>
      </c>
      <c r="G60" s="2" t="s">
        <v>25</v>
      </c>
      <c r="H60" s="2" t="s">
        <v>198</v>
      </c>
      <c r="I60" s="2" t="s">
        <v>15</v>
      </c>
    </row>
    <row r="61" spans="1:9" s="2" customFormat="1" x14ac:dyDescent="0.25">
      <c r="A61" s="2">
        <v>60</v>
      </c>
      <c r="B61" s="2" t="s">
        <v>199</v>
      </c>
      <c r="C61" s="3">
        <f>HYPERLINK("https://runwayml.com", "https://runwayml.com")</f>
      </c>
      <c r="D61" s="2" t="s">
        <v>200</v>
      </c>
      <c r="E61" s="2" t="s">
        <v>161</v>
      </c>
      <c r="F61" s="5" t="s">
        <v>39</v>
      </c>
      <c r="G61" s="2" t="s">
        <v>18</v>
      </c>
      <c r="H61" s="2" t="s">
        <v>201</v>
      </c>
      <c r="I61" s="2" t="s">
        <v>15</v>
      </c>
    </row>
    <row r="62" spans="1:9" s="2" customFormat="1" x14ac:dyDescent="0.25">
      <c r="A62" s="2">
        <v>61</v>
      </c>
      <c r="B62" s="2" t="s">
        <v>202</v>
      </c>
      <c r="C62" s="3">
        <f>HYPERLINK("https://sennep.com", "https://sennep.com")</f>
      </c>
      <c r="D62" s="2" t="s">
        <v>203</v>
      </c>
      <c r="E62" s="2" t="s">
        <v>161</v>
      </c>
      <c r="F62" s="5" t="s">
        <v>39</v>
      </c>
      <c r="G62" s="2" t="s">
        <v>32</v>
      </c>
      <c r="H62" s="2" t="s">
        <v>204</v>
      </c>
      <c r="I62" s="2" t="s">
        <v>15</v>
      </c>
    </row>
    <row r="63" spans="1:9" s="2" customFormat="1" x14ac:dyDescent="0.25">
      <c r="A63" s="2">
        <v>62</v>
      </c>
      <c r="B63" s="2" t="s">
        <v>205</v>
      </c>
      <c r="C63" s="3">
        <f>HYPERLINK("https://www.letterform.com", "https://www.letterform.com")</f>
      </c>
      <c r="D63" s="2" t="s">
        <v>206</v>
      </c>
      <c r="E63" s="2" t="s">
        <v>161</v>
      </c>
      <c r="F63" s="9" t="s">
        <v>49</v>
      </c>
      <c r="G63" s="2" t="s">
        <v>25</v>
      </c>
      <c r="H63" s="2" t="s">
        <v>207</v>
      </c>
      <c r="I63" s="2" t="s">
        <v>15</v>
      </c>
    </row>
    <row r="64" spans="1:9" s="2" customFormat="1" x14ac:dyDescent="0.25">
      <c r="A64" s="2">
        <v>63</v>
      </c>
      <c r="B64" s="2" t="s">
        <v>208</v>
      </c>
      <c r="C64" s="3">
        <f>HYPERLINK("https://linear.app/settings", "https://linear.app/settings")</f>
      </c>
      <c r="D64" s="2" t="s">
        <v>209</v>
      </c>
      <c r="E64" s="2" t="s">
        <v>161</v>
      </c>
      <c r="F64" s="9" t="s">
        <v>49</v>
      </c>
      <c r="G64" s="2" t="s">
        <v>18</v>
      </c>
      <c r="H64" s="2" t="s">
        <v>210</v>
      </c>
      <c r="I64" s="2" t="s">
        <v>15</v>
      </c>
    </row>
    <row r="65" spans="1:9" s="2" customFormat="1" x14ac:dyDescent="0.25">
      <c r="A65" s="2">
        <v>64</v>
      </c>
      <c r="B65" s="2" t="s">
        <v>211</v>
      </c>
      <c r="C65" s="3">
        <f>HYPERLINK("https://mrdoob.com/", "https://mrdoob.com/")</f>
      </c>
      <c r="D65" s="2" t="s">
        <v>212</v>
      </c>
      <c r="E65" s="2" t="s">
        <v>161</v>
      </c>
      <c r="F65" s="9" t="s">
        <v>49</v>
      </c>
      <c r="G65" s="2" t="s">
        <v>13</v>
      </c>
      <c r="H65" s="2" t="s">
        <v>213</v>
      </c>
      <c r="I65" s="2" t="s">
        <v>15</v>
      </c>
    </row>
    <row r="66" spans="1:9" s="2" customFormat="1" x14ac:dyDescent="0.25">
      <c r="A66" s="2">
        <v>65</v>
      </c>
      <c r="B66" s="2" t="s">
        <v>214</v>
      </c>
      <c r="C66" s="3">
        <f>HYPERLINK("https://www.noma.dk", "https://www.noma.dk")</f>
      </c>
      <c r="D66" s="2" t="s">
        <v>215</v>
      </c>
      <c r="E66" s="2" t="s">
        <v>216</v>
      </c>
      <c r="F66" s="4" t="s">
        <v>12</v>
      </c>
      <c r="G66" s="2" t="s">
        <v>25</v>
      </c>
      <c r="H66" s="2" t="s">
        <v>217</v>
      </c>
      <c r="I66" s="2" t="s">
        <v>15</v>
      </c>
    </row>
    <row r="67" spans="1:9" s="6" customFormat="1" x14ac:dyDescent="0.25">
      <c r="A67" s="6">
        <v>66</v>
      </c>
      <c r="B67" s="6" t="s">
        <v>218</v>
      </c>
      <c r="C67" s="7">
        <f>HYPERLINK("https://akaru.fr", "https://akaru.fr")</f>
      </c>
      <c r="D67" s="6" t="s">
        <v>219</v>
      </c>
      <c r="E67" s="6" t="s">
        <v>216</v>
      </c>
      <c r="F67" s="8" t="s">
        <v>39</v>
      </c>
      <c r="G67" s="6" t="s">
        <v>32</v>
      </c>
      <c r="H67" s="6" t="s">
        <v>220</v>
      </c>
      <c r="I67" s="6" t="s">
        <v>15</v>
      </c>
    </row>
    <row r="68" spans="1:9" s="2" customFormat="1" x14ac:dyDescent="0.25">
      <c r="A68" s="2">
        <v>67</v>
      </c>
      <c r="B68" s="2" t="s">
        <v>221</v>
      </c>
      <c r="C68" s="3">
        <f>HYPERLINK("https://arc.net", "https://arc.net")</f>
      </c>
      <c r="D68" s="2" t="s">
        <v>222</v>
      </c>
      <c r="E68" s="2" t="s">
        <v>216</v>
      </c>
      <c r="F68" s="5" t="s">
        <v>39</v>
      </c>
      <c r="G68" s="2" t="s">
        <v>18</v>
      </c>
      <c r="H68" s="2" t="s">
        <v>223</v>
      </c>
      <c r="I68" s="2" t="s">
        <v>15</v>
      </c>
    </row>
    <row r="69" spans="1:9" s="6" customFormat="1" x14ac:dyDescent="0.25">
      <c r="A69" s="6">
        <v>68</v>
      </c>
      <c r="B69" s="6" t="s">
        <v>224</v>
      </c>
      <c r="C69" s="7">
        <f>HYPERLINK("https://buck.co/", "https://buck.co/")</f>
      </c>
      <c r="D69" s="6" t="s">
        <v>225</v>
      </c>
      <c r="E69" s="6" t="s">
        <v>216</v>
      </c>
      <c r="F69" s="8" t="s">
        <v>39</v>
      </c>
      <c r="G69" s="6" t="s">
        <v>13</v>
      </c>
      <c r="H69" s="6" t="s">
        <v>226</v>
      </c>
      <c r="I69" s="6" t="s">
        <v>15</v>
      </c>
    </row>
    <row r="70" spans="1:9" s="2" customFormat="1" x14ac:dyDescent="0.25">
      <c r="A70" s="2">
        <v>69</v>
      </c>
      <c r="B70" s="2" t="s">
        <v>227</v>
      </c>
      <c r="C70" s="3">
        <f>HYPERLINK("https://www.cabinetmagazine.org", "https://www.cabinetmagazine.org")</f>
      </c>
      <c r="D70" s="2" t="s">
        <v>228</v>
      </c>
      <c r="E70" s="2" t="s">
        <v>216</v>
      </c>
      <c r="F70" s="5" t="s">
        <v>39</v>
      </c>
      <c r="G70" s="2" t="s">
        <v>25</v>
      </c>
      <c r="H70" s="2" t="s">
        <v>229</v>
      </c>
      <c r="I70" s="2" t="s">
        <v>15</v>
      </c>
    </row>
    <row r="71" spans="1:9" s="2" customFormat="1" x14ac:dyDescent="0.25">
      <c r="A71" s="2">
        <v>70</v>
      </c>
      <c r="B71" s="2" t="s">
        <v>230</v>
      </c>
      <c r="C71" s="3">
        <f>HYPERLINK("https://cal.com", "https://cal.com")</f>
      </c>
      <c r="D71" s="2" t="s">
        <v>231</v>
      </c>
      <c r="E71" s="2" t="s">
        <v>216</v>
      </c>
      <c r="F71" s="5" t="s">
        <v>39</v>
      </c>
      <c r="G71" s="2" t="s">
        <v>18</v>
      </c>
      <c r="H71" s="2" t="s">
        <v>232</v>
      </c>
      <c r="I71" s="2" t="s">
        <v>15</v>
      </c>
    </row>
    <row r="72" spans="1:9" s="2" customFormat="1" x14ac:dyDescent="0.25">
      <c r="A72" s="2">
        <v>71</v>
      </c>
      <c r="B72" s="2" t="s">
        <v>233</v>
      </c>
      <c r="C72" s="3">
        <f>HYPERLINK("https://www.commercialtype.com", "https://www.commercialtype.com")</f>
      </c>
      <c r="D72" s="2" t="s">
        <v>234</v>
      </c>
      <c r="E72" s="2" t="s">
        <v>216</v>
      </c>
      <c r="F72" s="5" t="s">
        <v>39</v>
      </c>
      <c r="G72" s="2" t="s">
        <v>25</v>
      </c>
      <c r="H72" s="2" t="s">
        <v>235</v>
      </c>
      <c r="I72" s="2" t="s">
        <v>15</v>
      </c>
    </row>
    <row r="73" spans="1:9" s="2" customFormat="1" x14ac:dyDescent="0.25">
      <c r="A73" s="2">
        <v>72</v>
      </c>
      <c r="B73" s="2" t="s">
        <v>236</v>
      </c>
      <c r="C73" s="3">
        <f>HYPERLINK("https://fontsmith.com", "https://fontsmith.com")</f>
      </c>
      <c r="D73" s="2" t="s">
        <v>237</v>
      </c>
      <c r="E73" s="2" t="s">
        <v>216</v>
      </c>
      <c r="F73" s="5" t="s">
        <v>39</v>
      </c>
      <c r="G73" s="2" t="s">
        <v>32</v>
      </c>
      <c r="H73" s="2" t="s">
        <v>238</v>
      </c>
      <c r="I73" s="2" t="s">
        <v>15</v>
      </c>
    </row>
    <row r="74" spans="1:9" s="2" customFormat="1" x14ac:dyDescent="0.25">
      <c r="A74" s="2">
        <v>73</v>
      </c>
      <c r="B74" s="2" t="s">
        <v>239</v>
      </c>
      <c r="C74" s="3">
        <f>HYPERLINK("https://framer.com/templates", "https://framer.com/templates")</f>
      </c>
      <c r="D74" s="2" t="s">
        <v>240</v>
      </c>
      <c r="E74" s="2" t="s">
        <v>216</v>
      </c>
      <c r="F74" s="5" t="s">
        <v>39</v>
      </c>
      <c r="G74" s="2" t="s">
        <v>18</v>
      </c>
      <c r="H74" s="2" t="s">
        <v>241</v>
      </c>
      <c r="I74" s="2" t="s">
        <v>15</v>
      </c>
    </row>
    <row r="75" spans="1:9" s="6" customFormat="1" x14ac:dyDescent="0.25">
      <c r="A75" s="6">
        <v>74</v>
      </c>
      <c r="B75" s="6" t="s">
        <v>242</v>
      </c>
      <c r="C75" s="7">
        <f>HYPERLINK("https://jam3.com", "https://jam3.com")</f>
      </c>
      <c r="D75" s="6" t="s">
        <v>243</v>
      </c>
      <c r="E75" s="6" t="s">
        <v>216</v>
      </c>
      <c r="F75" s="8" t="s">
        <v>39</v>
      </c>
      <c r="G75" s="6" t="s">
        <v>32</v>
      </c>
      <c r="H75" s="6" t="s">
        <v>244</v>
      </c>
      <c r="I75" s="6" t="s">
        <v>15</v>
      </c>
    </row>
    <row r="76" spans="1:9" s="2" customFormat="1" x14ac:dyDescent="0.25">
      <c r="A76" s="2">
        <v>75</v>
      </c>
      <c r="B76" s="2" t="s">
        <v>245</v>
      </c>
      <c r="C76" s="3">
        <f>HYPERLINK("https://www.loewe.com", "https://www.loewe.com")</f>
      </c>
      <c r="D76" s="2" t="s">
        <v>246</v>
      </c>
      <c r="E76" s="2" t="s">
        <v>216</v>
      </c>
      <c r="F76" s="5" t="s">
        <v>39</v>
      </c>
      <c r="G76" s="2" t="s">
        <v>25</v>
      </c>
      <c r="H76" s="2" t="s">
        <v>247</v>
      </c>
      <c r="I76" s="2" t="s">
        <v>15</v>
      </c>
    </row>
    <row r="77" spans="1:9" s="2" customFormat="1" x14ac:dyDescent="0.25">
      <c r="A77" s="2">
        <v>76</v>
      </c>
      <c r="B77" s="2" t="s">
        <v>248</v>
      </c>
      <c r="C77" s="3">
        <f>HYPERLINK("https://manualcreative.com", "https://manualcreative.com")</f>
      </c>
      <c r="D77" s="2" t="s">
        <v>249</v>
      </c>
      <c r="E77" s="2" t="s">
        <v>216</v>
      </c>
      <c r="F77" s="5" t="s">
        <v>39</v>
      </c>
      <c r="G77" s="2" t="s">
        <v>32</v>
      </c>
      <c r="H77" s="2" t="s">
        <v>250</v>
      </c>
      <c r="I77" s="2" t="s">
        <v>15</v>
      </c>
    </row>
    <row r="78" spans="1:9" s="2" customFormat="1" x14ac:dyDescent="0.25">
      <c r="A78" s="2">
        <v>77</v>
      </c>
      <c r="B78" s="2" t="s">
        <v>251</v>
      </c>
      <c r="C78" s="3">
        <f>HYPERLINK("https://paragraph.xyz/", "https://paragraph.xyz/")</f>
      </c>
      <c r="D78" s="2" t="s">
        <v>252</v>
      </c>
      <c r="E78" s="2" t="s">
        <v>216</v>
      </c>
      <c r="F78" s="5" t="s">
        <v>39</v>
      </c>
      <c r="G78" s="2" t="s">
        <v>13</v>
      </c>
      <c r="H78" s="2" t="s">
        <v>253</v>
      </c>
      <c r="I78" s="2" t="s">
        <v>15</v>
      </c>
    </row>
    <row r="79" spans="1:9" s="6" customFormat="1" x14ac:dyDescent="0.25">
      <c r="A79" s="6">
        <v>78</v>
      </c>
      <c r="B79" s="6" t="s">
        <v>254</v>
      </c>
      <c r="C79" s="7">
        <f>HYPERLINK("https://pentagram.com", "https://pentagram.com")</f>
      </c>
      <c r="D79" s="6" t="s">
        <v>255</v>
      </c>
      <c r="E79" s="6" t="s">
        <v>216</v>
      </c>
      <c r="F79" s="8" t="s">
        <v>39</v>
      </c>
      <c r="G79" s="6" t="s">
        <v>32</v>
      </c>
      <c r="H79" s="6" t="s">
        <v>256</v>
      </c>
      <c r="I79" s="6" t="s">
        <v>15</v>
      </c>
    </row>
    <row r="80" spans="1:9" s="2" customFormat="1" x14ac:dyDescent="0.25">
      <c r="A80" s="2">
        <v>79</v>
      </c>
      <c r="B80" s="2" t="s">
        <v>257</v>
      </c>
      <c r="C80" s="3">
        <f>HYPERLINK("https://www.productiontype.com", "https://www.productiontype.com")</f>
      </c>
      <c r="D80" s="2" t="s">
        <v>258</v>
      </c>
      <c r="E80" s="2" t="s">
        <v>216</v>
      </c>
      <c r="F80" s="5" t="s">
        <v>39</v>
      </c>
      <c r="G80" s="2" t="s">
        <v>25</v>
      </c>
      <c r="H80" s="2" t="s">
        <v>259</v>
      </c>
      <c r="I80" s="2" t="s">
        <v>15</v>
      </c>
    </row>
    <row r="81" spans="1:9" s="2" customFormat="1" x14ac:dyDescent="0.25">
      <c r="A81" s="2">
        <v>80</v>
      </c>
      <c r="B81" s="2" t="s">
        <v>260</v>
      </c>
      <c r="C81" s="3">
        <f>HYPERLINK("https://purplegrain.studio", "https://purplegrain.studio")</f>
      </c>
      <c r="D81" s="2" t="s">
        <v>261</v>
      </c>
      <c r="E81" s="2" t="s">
        <v>216</v>
      </c>
      <c r="F81" s="5" t="s">
        <v>39</v>
      </c>
      <c r="G81" s="2" t="s">
        <v>32</v>
      </c>
      <c r="H81" s="2" t="s">
        <v>262</v>
      </c>
      <c r="I81" s="2" t="s">
        <v>15</v>
      </c>
    </row>
    <row r="82" spans="1:9" s="2" customFormat="1" x14ac:dyDescent="0.25">
      <c r="A82" s="2">
        <v>81</v>
      </c>
      <c r="B82" s="2" t="s">
        <v>263</v>
      </c>
      <c r="C82" s="3">
        <f>HYPERLINK("https://www.textezurkunst.de", "https://www.textezurkunst.de")</f>
      </c>
      <c r="D82" s="2" t="s">
        <v>264</v>
      </c>
      <c r="E82" s="2" t="s">
        <v>216</v>
      </c>
      <c r="F82" s="5" t="s">
        <v>39</v>
      </c>
      <c r="G82" s="2" t="s">
        <v>25</v>
      </c>
      <c r="H82" s="2" t="s">
        <v>265</v>
      </c>
      <c r="I82" s="2" t="s">
        <v>15</v>
      </c>
    </row>
    <row r="83" spans="1:9" s="2" customFormat="1" x14ac:dyDescent="0.25">
      <c r="A83" s="2">
        <v>82</v>
      </c>
      <c r="B83" s="2" t="s">
        <v>266</v>
      </c>
      <c r="C83" s="3">
        <f>HYPERLINK("https://www.thegentlewoman.com", "https://www.thegentlewoman.com")</f>
      </c>
      <c r="D83" s="2" t="s">
        <v>267</v>
      </c>
      <c r="E83" s="2" t="s">
        <v>216</v>
      </c>
      <c r="F83" s="5" t="s">
        <v>39</v>
      </c>
      <c r="G83" s="2" t="s">
        <v>25</v>
      </c>
      <c r="H83" s="2" t="s">
        <v>268</v>
      </c>
      <c r="I83" s="2" t="s">
        <v>15</v>
      </c>
    </row>
    <row r="84" spans="1:9" s="2" customFormat="1" x14ac:dyDescent="0.25">
      <c r="A84" s="2">
        <v>83</v>
      </c>
      <c r="B84" s="2" t="s">
        <v>269</v>
      </c>
      <c r="C84" s="3">
        <f>HYPERLINK("https://www.therow.com", "https://www.therow.com")</f>
      </c>
      <c r="D84" s="2" t="s">
        <v>270</v>
      </c>
      <c r="E84" s="2" t="s">
        <v>216</v>
      </c>
      <c r="F84" s="5" t="s">
        <v>39</v>
      </c>
      <c r="G84" s="2" t="s">
        <v>25</v>
      </c>
      <c r="H84" s="2" t="s">
        <v>271</v>
      </c>
      <c r="I84" s="2" t="s">
        <v>15</v>
      </c>
    </row>
    <row r="85" spans="1:9" s="2" customFormat="1" x14ac:dyDescent="0.25">
      <c r="A85" s="2">
        <v>84</v>
      </c>
      <c r="B85" s="2" t="s">
        <v>272</v>
      </c>
      <c r="C85" s="3">
        <f>HYPERLINK("https://www.toteme.com", "https://www.toteme.com")</f>
      </c>
      <c r="D85" s="2" t="s">
        <v>273</v>
      </c>
      <c r="E85" s="2" t="s">
        <v>216</v>
      </c>
      <c r="F85" s="5" t="s">
        <v>39</v>
      </c>
      <c r="G85" s="2" t="s">
        <v>25</v>
      </c>
      <c r="H85" s="2" t="s">
        <v>274</v>
      </c>
      <c r="I85" s="2" t="s">
        <v>15</v>
      </c>
    </row>
    <row r="86" spans="1:9" s="6" customFormat="1" x14ac:dyDescent="0.25">
      <c r="A86" s="6">
        <v>85</v>
      </c>
      <c r="B86" s="6" t="s">
        <v>275</v>
      </c>
      <c r="C86" s="7">
        <f>HYPERLINK("https://zora.co/", "https://zora.co/")</f>
      </c>
      <c r="D86" s="6" t="s">
        <v>276</v>
      </c>
      <c r="E86" s="6" t="s">
        <v>216</v>
      </c>
      <c r="F86" s="8" t="s">
        <v>39</v>
      </c>
      <c r="G86" s="6" t="s">
        <v>13</v>
      </c>
      <c r="H86" s="6" t="s">
        <v>277</v>
      </c>
      <c r="I86" s="6" t="s">
        <v>15</v>
      </c>
    </row>
    <row r="87" spans="1:9" s="2" customFormat="1" x14ac:dyDescent="0.25">
      <c r="A87" s="2">
        <v>86</v>
      </c>
      <c r="B87" s="2" t="s">
        <v>278</v>
      </c>
      <c r="C87" s="3">
        <f>HYPERLINK("https://www.acnestudios.com", "https://www.acnestudios.com")</f>
      </c>
      <c r="D87" s="2" t="s">
        <v>279</v>
      </c>
      <c r="E87" s="2" t="s">
        <v>216</v>
      </c>
      <c r="F87" s="9" t="s">
        <v>49</v>
      </c>
      <c r="G87" s="2" t="s">
        <v>25</v>
      </c>
      <c r="H87" s="2" t="s">
        <v>280</v>
      </c>
      <c r="I87" s="2" t="s">
        <v>15</v>
      </c>
    </row>
    <row r="88" spans="1:9" s="2" customFormat="1" x14ac:dyDescent="0.25">
      <c r="A88" s="2">
        <v>87</v>
      </c>
      <c r="B88" s="2" t="s">
        <v>281</v>
      </c>
      <c r="C88" s="3">
        <f>HYPERLINK("https://www.documentjournal.com", "https://www.documentjournal.com")</f>
      </c>
      <c r="D88" s="2" t="s">
        <v>282</v>
      </c>
      <c r="E88" s="2" t="s">
        <v>216</v>
      </c>
      <c r="F88" s="9" t="s">
        <v>49</v>
      </c>
      <c r="G88" s="2" t="s">
        <v>25</v>
      </c>
      <c r="H88" s="2" t="s">
        <v>283</v>
      </c>
      <c r="I88" s="2" t="s">
        <v>15</v>
      </c>
    </row>
    <row r="89" spans="1:9" s="6" customFormat="1" x14ac:dyDescent="0.25">
      <c r="A89" s="6">
        <v>88</v>
      </c>
      <c r="B89" s="6" t="s">
        <v>284</v>
      </c>
      <c r="C89" s="7">
        <f>HYPERLINK("https://foundation.app", "https://foundation.app")</f>
      </c>
      <c r="D89" s="6" t="s">
        <v>285</v>
      </c>
      <c r="E89" s="6" t="s">
        <v>216</v>
      </c>
      <c r="F89" s="10" t="s">
        <v>49</v>
      </c>
      <c r="G89" s="6" t="s">
        <v>18</v>
      </c>
      <c r="H89" s="6" t="s">
        <v>286</v>
      </c>
      <c r="I89" s="6" t="s">
        <v>15</v>
      </c>
    </row>
    <row r="90" spans="1:9" s="2" customFormat="1" x14ac:dyDescent="0.25">
      <c r="A90" s="2">
        <v>89</v>
      </c>
      <c r="B90" s="2" t="s">
        <v>287</v>
      </c>
      <c r="C90" s="3">
        <f>HYPERLINK("https://www.frantzen.se", "https://www.frantzen.se")</f>
      </c>
      <c r="D90" s="2" t="s">
        <v>288</v>
      </c>
      <c r="E90" s="2" t="s">
        <v>216</v>
      </c>
      <c r="F90" s="9" t="s">
        <v>49</v>
      </c>
      <c r="G90" s="2" t="s">
        <v>25</v>
      </c>
      <c r="H90" s="2" t="s">
        <v>289</v>
      </c>
      <c r="I90" s="2" t="s">
        <v>15</v>
      </c>
    </row>
    <row r="91" spans="1:9" s="2" customFormat="1" x14ac:dyDescent="0.25">
      <c r="A91" s="2">
        <v>90</v>
      </c>
      <c r="B91" s="2" t="s">
        <v>290</v>
      </c>
      <c r="C91" s="3">
        <f>HYPERLINK("https://huggingface.co", "https://huggingface.co")</f>
      </c>
      <c r="D91" s="2" t="s">
        <v>291</v>
      </c>
      <c r="E91" s="2" t="s">
        <v>216</v>
      </c>
      <c r="F91" s="9" t="s">
        <v>49</v>
      </c>
      <c r="G91" s="2" t="s">
        <v>18</v>
      </c>
      <c r="H91" s="2" t="s">
        <v>292</v>
      </c>
      <c r="I91" s="2" t="s">
        <v>15</v>
      </c>
    </row>
    <row r="92" spans="1:9" s="2" customFormat="1" x14ac:dyDescent="0.25">
      <c r="A92" s="2">
        <v>91</v>
      </c>
      <c r="B92" s="2" t="s">
        <v>293</v>
      </c>
      <c r="C92" s="3">
        <f>HYPERLINK("https://mem.ai", "https://mem.ai")</f>
      </c>
      <c r="D92" s="2" t="s">
        <v>294</v>
      </c>
      <c r="E92" s="2" t="s">
        <v>216</v>
      </c>
      <c r="F92" s="9" t="s">
        <v>49</v>
      </c>
      <c r="G92" s="2" t="s">
        <v>18</v>
      </c>
      <c r="H92" s="2" t="s">
        <v>295</v>
      </c>
      <c r="I92" s="2" t="s">
        <v>15</v>
      </c>
    </row>
    <row r="93" spans="1:9" s="2" customFormat="1" x14ac:dyDescent="0.25">
      <c r="A93" s="2">
        <v>92</v>
      </c>
      <c r="B93" s="2" t="s">
        <v>296</v>
      </c>
      <c r="C93" s="3">
        <f>HYPERLINK("https://www.mori.art.museum", "https://www.mori.art.museum")</f>
      </c>
      <c r="D93" s="2" t="s">
        <v>297</v>
      </c>
      <c r="E93" s="2" t="s">
        <v>216</v>
      </c>
      <c r="F93" s="9" t="s">
        <v>49</v>
      </c>
      <c r="G93" s="2" t="s">
        <v>25</v>
      </c>
      <c r="H93" s="2" t="s">
        <v>298</v>
      </c>
      <c r="I93" s="2" t="s">
        <v>15</v>
      </c>
    </row>
    <row r="94" spans="1:9" s="2" customFormat="1" x14ac:dyDescent="0.25">
      <c r="A94" s="2">
        <v>93</v>
      </c>
      <c r="B94" s="2" t="s">
        <v>299</v>
      </c>
      <c r="C94" s="3">
        <f>HYPERLINK("https://readwise.io", "https://readwise.io")</f>
      </c>
      <c r="D94" s="2" t="s">
        <v>300</v>
      </c>
      <c r="E94" s="2" t="s">
        <v>216</v>
      </c>
      <c r="F94" s="9" t="s">
        <v>49</v>
      </c>
      <c r="G94" s="2" t="s">
        <v>18</v>
      </c>
      <c r="H94" s="2" t="s">
        <v>301</v>
      </c>
      <c r="I94" s="2" t="s">
        <v>15</v>
      </c>
    </row>
    <row r="95" spans="1:9" s="6" customFormat="1" x14ac:dyDescent="0.25">
      <c r="A95" s="6">
        <v>94</v>
      </c>
      <c r="B95" s="6" t="s">
        <v>302</v>
      </c>
      <c r="C95" s="7">
        <f>HYPERLINK("https://akaru.fr", "https://akaru.fr")</f>
      </c>
      <c r="D95" s="6" t="s">
        <v>303</v>
      </c>
      <c r="E95" s="6" t="s">
        <v>304</v>
      </c>
      <c r="F95" s="11" t="s">
        <v>12</v>
      </c>
      <c r="G95" s="6" t="s">
        <v>32</v>
      </c>
      <c r="H95" s="6" t="s">
        <v>305</v>
      </c>
      <c r="I95" s="6" t="s">
        <v>15</v>
      </c>
    </row>
    <row r="96" spans="1:9" s="2" customFormat="1" x14ac:dyDescent="0.25">
      <c r="A96" s="2">
        <v>95</v>
      </c>
      <c r="B96" s="2" t="s">
        <v>306</v>
      </c>
      <c r="C96" s="3">
        <f>HYPERLINK("https://www.alchemist.dk", "https://www.alchemist.dk")</f>
      </c>
      <c r="D96" s="2" t="s">
        <v>307</v>
      </c>
      <c r="E96" s="2" t="s">
        <v>304</v>
      </c>
      <c r="F96" s="4" t="s">
        <v>12</v>
      </c>
      <c r="G96" s="2" t="s">
        <v>25</v>
      </c>
      <c r="H96" s="2" t="s">
        <v>308</v>
      </c>
      <c r="I96" s="2" t="s">
        <v>15</v>
      </c>
    </row>
    <row r="97" spans="1:9" s="2" customFormat="1" x14ac:dyDescent="0.25">
      <c r="A97" s="2">
        <v>96</v>
      </c>
      <c r="B97" s="2" t="s">
        <v>309</v>
      </c>
      <c r="C97" s="3">
        <f>HYPERLINK("https://tympanus.net/codrops/2022/10/19/liquid-distortion-effects/", "https://tympanus.net/codrops/2022/10/19/liquid-distortion-effects/")</f>
      </c>
      <c r="D97" s="2" t="s">
        <v>310</v>
      </c>
      <c r="E97" s="2" t="s">
        <v>304</v>
      </c>
      <c r="F97" s="4" t="s">
        <v>12</v>
      </c>
      <c r="G97" s="2" t="s">
        <v>13</v>
      </c>
      <c r="H97" s="2" t="s">
        <v>311</v>
      </c>
      <c r="I97" s="2" t="s">
        <v>15</v>
      </c>
    </row>
    <row r="98" spans="1:9" s="2" customFormat="1" x14ac:dyDescent="0.25">
      <c r="A98" s="2">
        <v>97</v>
      </c>
      <c r="B98" s="2" t="s">
        <v>312</v>
      </c>
      <c r="C98" s="3">
        <f>HYPERLINK("https://lusion.co/", "https://lusion.co/")</f>
      </c>
      <c r="D98" s="2" t="s">
        <v>313</v>
      </c>
      <c r="E98" s="2" t="s">
        <v>304</v>
      </c>
      <c r="F98" s="4" t="s">
        <v>12</v>
      </c>
      <c r="G98" s="2" t="s">
        <v>13</v>
      </c>
      <c r="H98" s="2" t="s">
        <v>314</v>
      </c>
      <c r="I98" s="2" t="s">
        <v>15</v>
      </c>
    </row>
    <row r="99" spans="1:9" s="6" customFormat="1" x14ac:dyDescent="0.25">
      <c r="A99" s="6">
        <v>98</v>
      </c>
      <c r="B99" s="6" t="s">
        <v>315</v>
      </c>
      <c r="C99" s="7">
        <f>HYPERLINK("https://resn.co.nz", "https://resn.co.nz")</f>
      </c>
      <c r="D99" s="6" t="s">
        <v>316</v>
      </c>
      <c r="E99" s="6" t="s">
        <v>304</v>
      </c>
      <c r="F99" s="11" t="s">
        <v>12</v>
      </c>
      <c r="G99" s="6" t="s">
        <v>32</v>
      </c>
      <c r="H99" s="6" t="s">
        <v>317</v>
      </c>
      <c r="I99" s="6" t="s">
        <v>15</v>
      </c>
    </row>
    <row r="100" spans="1:9" s="2" customFormat="1" x14ac:dyDescent="0.25">
      <c r="A100" s="2">
        <v>99</v>
      </c>
      <c r="B100" s="2" t="s">
        <v>318</v>
      </c>
      <c r="C100" s="3">
        <f>HYPERLINK("https://stinkstudios.com", "https://stinkstudios.com")</f>
      </c>
      <c r="D100" s="2" t="s">
        <v>319</v>
      </c>
      <c r="E100" s="2" t="s">
        <v>304</v>
      </c>
      <c r="F100" s="4" t="s">
        <v>12</v>
      </c>
      <c r="G100" s="2" t="s">
        <v>32</v>
      </c>
      <c r="H100" s="2" t="s">
        <v>320</v>
      </c>
      <c r="I100" s="2" t="s">
        <v>15</v>
      </c>
    </row>
    <row r="101" spans="1:9" s="2" customFormat="1" x14ac:dyDescent="0.25">
      <c r="A101" s="2">
        <v>100</v>
      </c>
      <c r="B101" s="2" t="s">
        <v>321</v>
      </c>
      <c r="C101" s="3">
        <f>HYPERLINK("https://convex.dev", "https://convex.dev")</f>
      </c>
      <c r="D101" s="2" t="s">
        <v>322</v>
      </c>
      <c r="E101" s="2" t="s">
        <v>304</v>
      </c>
      <c r="F101" s="5" t="s">
        <v>39</v>
      </c>
      <c r="G101" s="2" t="s">
        <v>18</v>
      </c>
      <c r="H101" s="2" t="s">
        <v>323</v>
      </c>
      <c r="I101" s="2" t="s">
        <v>15</v>
      </c>
    </row>
    <row r="102" spans="1:9" s="2" customFormat="1" x14ac:dyDescent="0.25">
      <c r="A102" s="2">
        <v>101</v>
      </c>
      <c r="B102" s="2" t="s">
        <v>324</v>
      </c>
      <c r="C102" s="3">
        <f>HYPERLINK("https://www.elevenmadisonpark.com", "https://www.elevenmadisonpark.com")</f>
      </c>
      <c r="D102" s="2" t="s">
        <v>325</v>
      </c>
      <c r="E102" s="2" t="s">
        <v>304</v>
      </c>
      <c r="F102" s="5" t="s">
        <v>39</v>
      </c>
      <c r="G102" s="2" t="s">
        <v>25</v>
      </c>
      <c r="H102" s="2" t="s">
        <v>326</v>
      </c>
      <c r="I102" s="2" t="s">
        <v>15</v>
      </c>
    </row>
    <row r="103" spans="1:9" s="2" customFormat="1" x14ac:dyDescent="0.25">
      <c r="A103" s="2">
        <v>102</v>
      </c>
      <c r="B103" s="2" t="s">
        <v>327</v>
      </c>
      <c r="C103" s="3">
        <f>HYPERLINK("https://hellomonday.com", "https://hellomonday.com")</f>
      </c>
      <c r="D103" s="2" t="s">
        <v>328</v>
      </c>
      <c r="E103" s="2" t="s">
        <v>304</v>
      </c>
      <c r="F103" s="5" t="s">
        <v>39</v>
      </c>
      <c r="G103" s="2" t="s">
        <v>32</v>
      </c>
      <c r="H103" s="2" t="s">
        <v>329</v>
      </c>
      <c r="I103" s="2" t="s">
        <v>15</v>
      </c>
    </row>
    <row r="104" spans="1:9" s="2" customFormat="1" x14ac:dyDescent="0.25">
      <c r="A104" s="2">
        <v>103</v>
      </c>
      <c r="B104" s="2" t="s">
        <v>330</v>
      </c>
      <c r="C104" s="3">
        <f>HYPERLINK("https://pitch.com", "https://pitch.com")</f>
      </c>
      <c r="D104" s="2" t="s">
        <v>331</v>
      </c>
      <c r="E104" s="2" t="s">
        <v>304</v>
      </c>
      <c r="F104" s="5" t="s">
        <v>39</v>
      </c>
      <c r="G104" s="2" t="s">
        <v>18</v>
      </c>
      <c r="H104" s="2" t="s">
        <v>332</v>
      </c>
      <c r="I104" s="2" t="s">
        <v>15</v>
      </c>
    </row>
    <row r="105" spans="1:9" s="2" customFormat="1" x14ac:dyDescent="0.25">
      <c r="A105" s="2">
        <v>104</v>
      </c>
      <c r="B105" s="2" t="s">
        <v>333</v>
      </c>
      <c r="C105" s="3">
        <f>HYPERLINK("https://thatgamecompany.com/sky-children-of-the-light/", "https://thatgamecompany.com/sky-children-of-the-light/")</f>
      </c>
      <c r="D105" s="2" t="s">
        <v>334</v>
      </c>
      <c r="E105" s="2" t="s">
        <v>304</v>
      </c>
      <c r="F105" s="5" t="s">
        <v>39</v>
      </c>
      <c r="G105" s="2" t="s">
        <v>13</v>
      </c>
      <c r="H105" s="2" t="s">
        <v>335</v>
      </c>
      <c r="I105" s="2" t="s">
        <v>15</v>
      </c>
    </row>
    <row r="106" spans="1:9" s="2" customFormat="1" x14ac:dyDescent="0.25">
      <c r="A106" s="2">
        <v>105</v>
      </c>
      <c r="B106" s="2" t="s">
        <v>336</v>
      </c>
      <c r="C106" s="3">
        <f>HYPERLINK("https://www.whitney.org", "https://www.whitney.org")</f>
      </c>
      <c r="D106" s="2" t="s">
        <v>337</v>
      </c>
      <c r="E106" s="2" t="s">
        <v>304</v>
      </c>
      <c r="F106" s="5" t="s">
        <v>39</v>
      </c>
      <c r="G106" s="2" t="s">
        <v>25</v>
      </c>
      <c r="H106" s="2" t="s">
        <v>338</v>
      </c>
      <c r="I106" s="2" t="s">
        <v>15</v>
      </c>
    </row>
    <row r="107" spans="1:9" s="6" customFormat="1" x14ac:dyDescent="0.25">
      <c r="A107" s="6">
        <v>106</v>
      </c>
      <c r="B107" s="6" t="s">
        <v>339</v>
      </c>
      <c r="C107" s="7">
        <f>HYPERLINK("https://zora.co", "https://zora.co")</f>
      </c>
      <c r="D107" s="6" t="s">
        <v>340</v>
      </c>
      <c r="E107" s="6" t="s">
        <v>304</v>
      </c>
      <c r="F107" s="8" t="s">
        <v>39</v>
      </c>
      <c r="G107" s="6" t="s">
        <v>18</v>
      </c>
      <c r="H107" s="6" t="s">
        <v>341</v>
      </c>
      <c r="I107" s="6" t="s">
        <v>15</v>
      </c>
    </row>
    <row r="108" spans="1:9" s="2" customFormat="1" x14ac:dyDescent="0.25">
      <c r="A108" s="2">
        <v>107</v>
      </c>
      <c r="B108" s="2" t="s">
        <v>342</v>
      </c>
      <c r="C108" s="3">
        <f>HYPERLINK("https://oddfellows.tv", "https://oddfellows.tv")</f>
      </c>
      <c r="D108" s="2" t="s">
        <v>343</v>
      </c>
      <c r="E108" s="2" t="s">
        <v>304</v>
      </c>
      <c r="F108" s="9" t="s">
        <v>49</v>
      </c>
      <c r="G108" s="2" t="s">
        <v>32</v>
      </c>
      <c r="H108" s="2" t="s">
        <v>344</v>
      </c>
      <c r="I108" s="2" t="s">
        <v>15</v>
      </c>
    </row>
    <row r="109" spans="1:9" s="6" customFormat="1" x14ac:dyDescent="0.25">
      <c r="A109" s="6">
        <v>108</v>
      </c>
      <c r="B109" s="6" t="s">
        <v>345</v>
      </c>
      <c r="C109" s="7">
        <f>HYPERLINK("https://buck.co", "https://buck.co")</f>
      </c>
      <c r="D109" s="6" t="s">
        <v>346</v>
      </c>
      <c r="E109" s="6" t="s">
        <v>347</v>
      </c>
      <c r="F109" s="11" t="s">
        <v>12</v>
      </c>
      <c r="G109" s="6" t="s">
        <v>32</v>
      </c>
      <c r="H109" s="6" t="s">
        <v>348</v>
      </c>
      <c r="I109" s="6" t="s">
        <v>15</v>
      </c>
    </row>
    <row r="110" spans="1:9" s="2" customFormat="1" x14ac:dyDescent="0.25">
      <c r="A110" s="2">
        <v>109</v>
      </c>
      <c r="B110" s="2" t="s">
        <v>349</v>
      </c>
      <c r="C110" s="3">
        <f>HYPERLINK("https://www.hermes.com", "https://www.hermes.com")</f>
      </c>
      <c r="D110" s="2" t="s">
        <v>350</v>
      </c>
      <c r="E110" s="2" t="s">
        <v>347</v>
      </c>
      <c r="F110" s="4" t="s">
        <v>12</v>
      </c>
      <c r="G110" s="2" t="s">
        <v>25</v>
      </c>
      <c r="H110" s="2" t="s">
        <v>351</v>
      </c>
      <c r="I110" s="2" t="s">
        <v>15</v>
      </c>
    </row>
    <row r="111" spans="1:9" s="2" customFormat="1" x14ac:dyDescent="0.25">
      <c r="A111" s="2">
        <v>110</v>
      </c>
      <c r="B111" s="2" t="s">
        <v>352</v>
      </c>
      <c r="C111" s="3">
        <f>HYPERLINK("https://instrument.com", "https://instrument.com")</f>
      </c>
      <c r="D111" s="2" t="s">
        <v>353</v>
      </c>
      <c r="E111" s="2" t="s">
        <v>347</v>
      </c>
      <c r="F111" s="4" t="s">
        <v>12</v>
      </c>
      <c r="G111" s="2" t="s">
        <v>32</v>
      </c>
      <c r="H111" s="2" t="s">
        <v>354</v>
      </c>
      <c r="I111" s="2" t="s">
        <v>15</v>
      </c>
    </row>
    <row r="112" spans="1:9" s="2" customFormat="1" x14ac:dyDescent="0.25">
      <c r="A112" s="2">
        <v>111</v>
      </c>
      <c r="B112" s="2" t="s">
        <v>355</v>
      </c>
      <c r="C112" s="3">
        <f>HYPERLINK("https://linear.app", "https://linear.app")</f>
      </c>
      <c r="D112" s="2" t="s">
        <v>356</v>
      </c>
      <c r="E112" s="2" t="s">
        <v>347</v>
      </c>
      <c r="F112" s="4" t="s">
        <v>12</v>
      </c>
      <c r="G112" s="2" t="s">
        <v>18</v>
      </c>
      <c r="H112" s="2" t="s">
        <v>357</v>
      </c>
      <c r="I112" s="2" t="s">
        <v>15</v>
      </c>
    </row>
    <row r="113" spans="1:9" s="6" customFormat="1" x14ac:dyDescent="0.25">
      <c r="A113" s="6">
        <v>112</v>
      </c>
      <c r="B113" s="6" t="s">
        <v>358</v>
      </c>
      <c r="C113" s="6" t="s">
        <v>15</v>
      </c>
      <c r="D113" s="6" t="s">
        <v>359</v>
      </c>
      <c r="E113" s="6" t="s">
        <v>347</v>
      </c>
      <c r="F113" s="8" t="s">
        <v>39</v>
      </c>
      <c r="G113" s="6" t="s">
        <v>13</v>
      </c>
      <c r="H113" s="6" t="s">
        <v>360</v>
      </c>
      <c r="I113" s="6" t="s">
        <v>54</v>
      </c>
    </row>
    <row r="114" spans="1:9" s="2" customFormat="1" x14ac:dyDescent="0.25">
      <c r="A114" s="2">
        <v>113</v>
      </c>
      <c r="B114" s="2" t="s">
        <v>361</v>
      </c>
      <c r="C114" s="3">
        <f>HYPERLINK("https://clay.com", "https://clay.com")</f>
      </c>
      <c r="D114" s="2" t="s">
        <v>362</v>
      </c>
      <c r="E114" s="2" t="s">
        <v>347</v>
      </c>
      <c r="F114" s="5" t="s">
        <v>39</v>
      </c>
      <c r="G114" s="2" t="s">
        <v>18</v>
      </c>
      <c r="H114" s="2" t="s">
        <v>363</v>
      </c>
      <c r="I114" s="2" t="s">
        <v>15</v>
      </c>
    </row>
    <row r="115" spans="1:9" s="6" customFormat="1" x14ac:dyDescent="0.25">
      <c r="A115" s="6">
        <v>114</v>
      </c>
      <c r="B115" s="6" t="s">
        <v>364</v>
      </c>
      <c r="C115" s="7">
        <f>HYPERLINK("https://www.jam3.com/", "https://www.jam3.com/")</f>
      </c>
      <c r="D115" s="6" t="s">
        <v>365</v>
      </c>
      <c r="E115" s="6" t="s">
        <v>347</v>
      </c>
      <c r="F115" s="8" t="s">
        <v>39</v>
      </c>
      <c r="G115" s="6" t="s">
        <v>13</v>
      </c>
      <c r="H115" s="6" t="s">
        <v>366</v>
      </c>
      <c r="I115" s="6" t="s">
        <v>15</v>
      </c>
    </row>
    <row r="116" spans="1:9" s="2" customFormat="1" x14ac:dyDescent="0.25">
      <c r="A116" s="2">
        <v>115</v>
      </c>
      <c r="B116" s="2" t="s">
        <v>367</v>
      </c>
      <c r="C116" s="3">
        <f>HYPERLINK("https://lindy.ai", "https://lindy.ai")</f>
      </c>
      <c r="D116" s="2" t="s">
        <v>368</v>
      </c>
      <c r="E116" s="2" t="s">
        <v>347</v>
      </c>
      <c r="F116" s="5" t="s">
        <v>39</v>
      </c>
      <c r="G116" s="2" t="s">
        <v>18</v>
      </c>
      <c r="H116" s="2" t="s">
        <v>369</v>
      </c>
      <c r="I116" s="2" t="s">
        <v>15</v>
      </c>
    </row>
    <row r="117" spans="1:9" s="2" customFormat="1" x14ac:dyDescent="0.25">
      <c r="A117" s="2">
        <v>116</v>
      </c>
      <c r="B117" s="2" t="s">
        <v>370</v>
      </c>
      <c r="C117" s="3">
        <f>HYPERLINK("https://locomotive.ca", "https://locomotive.ca")</f>
      </c>
      <c r="D117" s="2" t="s">
        <v>371</v>
      </c>
      <c r="E117" s="2" t="s">
        <v>347</v>
      </c>
      <c r="F117" s="5" t="s">
        <v>39</v>
      </c>
      <c r="G117" s="2" t="s">
        <v>32</v>
      </c>
      <c r="H117" s="2" t="s">
        <v>372</v>
      </c>
      <c r="I117" s="2" t="s">
        <v>15</v>
      </c>
    </row>
    <row r="118" spans="1:9" s="2" customFormat="1" x14ac:dyDescent="0.25">
      <c r="A118" s="2">
        <v>117</v>
      </c>
      <c r="B118" s="2" t="s">
        <v>373</v>
      </c>
      <c r="C118" s="3">
        <f>HYPERLINK("https://www.tate.org.uk", "https://www.tate.org.uk")</f>
      </c>
      <c r="D118" s="2" t="s">
        <v>374</v>
      </c>
      <c r="E118" s="2" t="s">
        <v>347</v>
      </c>
      <c r="F118" s="5" t="s">
        <v>39</v>
      </c>
      <c r="G118" s="2" t="s">
        <v>25</v>
      </c>
      <c r="H118" s="2" t="s">
        <v>375</v>
      </c>
      <c r="I118" s="2" t="s">
        <v>15</v>
      </c>
    </row>
    <row r="119" spans="1:9" s="2" customFormat="1" x14ac:dyDescent="0.25">
      <c r="A119" s="2">
        <v>118</v>
      </c>
      <c r="B119" s="2" t="s">
        <v>376</v>
      </c>
      <c r="C119" s="3">
        <f>HYPERLINK("https://the-line.tv", "https://the-line.tv")</f>
      </c>
      <c r="D119" s="2" t="s">
        <v>377</v>
      </c>
      <c r="E119" s="2" t="s">
        <v>347</v>
      </c>
      <c r="F119" s="5" t="s">
        <v>39</v>
      </c>
      <c r="G119" s="2" t="s">
        <v>32</v>
      </c>
      <c r="H119" s="2" t="s">
        <v>378</v>
      </c>
      <c r="I119" s="2" t="s">
        <v>15</v>
      </c>
    </row>
    <row r="120" spans="1:9" s="2" customFormat="1" x14ac:dyDescent="0.25">
      <c r="A120" s="2">
        <v>119</v>
      </c>
      <c r="B120" s="2" t="s">
        <v>379</v>
      </c>
      <c r="C120" s="3">
        <f>HYPERLINK("https://wk.com", "https://wk.com")</f>
      </c>
      <c r="D120" s="2" t="s">
        <v>380</v>
      </c>
      <c r="E120" s="2" t="s">
        <v>347</v>
      </c>
      <c r="F120" s="5" t="s">
        <v>39</v>
      </c>
      <c r="G120" s="2" t="s">
        <v>32</v>
      </c>
      <c r="H120" s="2" t="s">
        <v>381</v>
      </c>
      <c r="I120" s="2" t="s">
        <v>15</v>
      </c>
    </row>
    <row r="121" spans="1:9" s="2" customFormat="1" x14ac:dyDescent="0.25">
      <c r="A121" s="2">
        <v>120</v>
      </c>
      <c r="B121" s="2" t="s">
        <v>382</v>
      </c>
      <c r="C121" s="3">
        <f>HYPERLINK("https://dsign.io", "https://dsign.io")</f>
      </c>
      <c r="D121" s="2" t="s">
        <v>383</v>
      </c>
      <c r="E121" s="2" t="s">
        <v>347</v>
      </c>
      <c r="F121" s="9" t="s">
        <v>49</v>
      </c>
      <c r="G121" s="2" t="s">
        <v>32</v>
      </c>
      <c r="H121" s="2" t="s">
        <v>384</v>
      </c>
      <c r="I121" s="2" t="s">
        <v>15</v>
      </c>
    </row>
    <row r="122" spans="1:9" s="6" customFormat="1" x14ac:dyDescent="0.25">
      <c r="A122" s="6">
        <v>121</v>
      </c>
      <c r="B122" s="6" t="s">
        <v>385</v>
      </c>
      <c r="C122" s="7">
        <f>HYPERLINK("https://activetheory.net/", "https://activetheory.net/")</f>
      </c>
      <c r="D122" s="6" t="s">
        <v>386</v>
      </c>
      <c r="E122" s="6" t="s">
        <v>387</v>
      </c>
      <c r="F122" s="11" t="s">
        <v>12</v>
      </c>
      <c r="G122" s="6" t="s">
        <v>13</v>
      </c>
      <c r="H122" s="6" t="s">
        <v>388</v>
      </c>
      <c r="I122" s="6" t="s">
        <v>15</v>
      </c>
    </row>
    <row r="123" spans="1:9" s="2" customFormat="1" x14ac:dyDescent="0.25">
      <c r="A123" s="2">
        <v>122</v>
      </c>
      <c r="B123" s="2" t="s">
        <v>389</v>
      </c>
      <c r="C123" s="3">
        <f>HYPERLINK("https://www.artblocks.io/", "https://www.artblocks.io/")</f>
      </c>
      <c r="D123" s="2" t="s">
        <v>390</v>
      </c>
      <c r="E123" s="2" t="s">
        <v>387</v>
      </c>
      <c r="F123" s="4" t="s">
        <v>12</v>
      </c>
      <c r="G123" s="2" t="s">
        <v>13</v>
      </c>
      <c r="H123" s="2" t="s">
        <v>391</v>
      </c>
      <c r="I123" s="2" t="s">
        <v>15</v>
      </c>
    </row>
    <row r="124" spans="1:9" s="2" customFormat="1" x14ac:dyDescent="0.25">
      <c r="A124" s="2">
        <v>123</v>
      </c>
      <c r="B124" s="2" t="s">
        <v>392</v>
      </c>
      <c r="C124" s="3">
        <f>HYPERLINK("https://framer.com", "https://framer.com")</f>
      </c>
      <c r="D124" s="2" t="s">
        <v>393</v>
      </c>
      <c r="E124" s="2" t="s">
        <v>387</v>
      </c>
      <c r="F124" s="4" t="s">
        <v>12</v>
      </c>
      <c r="G124" s="2" t="s">
        <v>18</v>
      </c>
      <c r="H124" s="2" t="s">
        <v>394</v>
      </c>
      <c r="I124" s="2" t="s">
        <v>15</v>
      </c>
    </row>
    <row r="125" spans="1:9" s="2" customFormat="1" x14ac:dyDescent="0.25">
      <c r="A125" s="2">
        <v>124</v>
      </c>
      <c r="B125" s="2" t="s">
        <v>395</v>
      </c>
      <c r="C125" s="3">
        <f>HYPERLINK("https://ordinaryfolk.co", "https://ordinaryfolk.co")</f>
      </c>
      <c r="D125" s="2" t="s">
        <v>396</v>
      </c>
      <c r="E125" s="2" t="s">
        <v>387</v>
      </c>
      <c r="F125" s="4" t="s">
        <v>12</v>
      </c>
      <c r="G125" s="2" t="s">
        <v>32</v>
      </c>
      <c r="H125" s="2" t="s">
        <v>397</v>
      </c>
      <c r="I125" s="2" t="s">
        <v>15</v>
      </c>
    </row>
    <row r="126" spans="1:9" s="2" customFormat="1" x14ac:dyDescent="0.25">
      <c r="A126" s="2">
        <v>125</v>
      </c>
      <c r="B126" s="2" t="s">
        <v>398</v>
      </c>
      <c r="C126" s="3">
        <f>HYPERLINK("https://tympanus.net/codrops/2023/03/29/magnetic-hover-effects/", "https://tympanus.net/codrops/2023/03/29/magnetic-hover-effects/")</f>
      </c>
      <c r="D126" s="2" t="s">
        <v>399</v>
      </c>
      <c r="E126" s="2" t="s">
        <v>387</v>
      </c>
      <c r="F126" s="5" t="s">
        <v>39</v>
      </c>
      <c r="G126" s="2" t="s">
        <v>13</v>
      </c>
      <c r="H126" s="2" t="s">
        <v>400</v>
      </c>
      <c r="I126" s="2" t="s">
        <v>15</v>
      </c>
    </row>
    <row r="127" spans="1:9" s="2" customFormat="1" x14ac:dyDescent="0.25">
      <c r="A127" s="2">
        <v>126</v>
      </c>
      <c r="B127" s="2" t="s">
        <v>401</v>
      </c>
      <c r="C127" s="3">
        <f>HYPERLINK("https://imaginaestudio.com", "https://imaginaestudio.com")</f>
      </c>
      <c r="D127" s="2" t="s">
        <v>402</v>
      </c>
      <c r="E127" s="2" t="s">
        <v>387</v>
      </c>
      <c r="F127" s="5" t="s">
        <v>39</v>
      </c>
      <c r="G127" s="2" t="s">
        <v>32</v>
      </c>
      <c r="H127" s="2" t="s">
        <v>244</v>
      </c>
      <c r="I127" s="2" t="s">
        <v>15</v>
      </c>
    </row>
    <row r="128" spans="1:9" s="2" customFormat="1" x14ac:dyDescent="0.25">
      <c r="A128" s="2">
        <v>127</v>
      </c>
      <c r="B128" s="2" t="s">
        <v>403</v>
      </c>
      <c r="C128" s="3">
        <f>HYPERLINK("https://www.itsnicethat.com", "https://www.itsnicethat.com")</f>
      </c>
      <c r="D128" s="2" t="s">
        <v>404</v>
      </c>
      <c r="E128" s="2" t="s">
        <v>387</v>
      </c>
      <c r="F128" s="5" t="s">
        <v>39</v>
      </c>
      <c r="G128" s="2" t="s">
        <v>25</v>
      </c>
      <c r="H128" s="2" t="s">
        <v>405</v>
      </c>
      <c r="I128" s="2" t="s">
        <v>15</v>
      </c>
    </row>
    <row r="129" spans="1:9" s="2" customFormat="1" x14ac:dyDescent="0.25">
      <c r="A129" s="2">
        <v>128</v>
      </c>
      <c r="B129" s="2" t="s">
        <v>406</v>
      </c>
      <c r="C129" s="3">
        <f>HYPERLINK("https://wearemonks.com", "https://wearemonks.com")</f>
      </c>
      <c r="D129" s="2" t="s">
        <v>407</v>
      </c>
      <c r="E129" s="2" t="s">
        <v>387</v>
      </c>
      <c r="F129" s="5" t="s">
        <v>39</v>
      </c>
      <c r="G129" s="2" t="s">
        <v>32</v>
      </c>
      <c r="H129" s="2" t="s">
        <v>408</v>
      </c>
      <c r="I129" s="2" t="s">
        <v>15</v>
      </c>
    </row>
    <row r="130" spans="1:9" s="2" customFormat="1" x14ac:dyDescent="0.25">
      <c r="A130" s="2">
        <v>129</v>
      </c>
      <c r="B130" s="2" t="s">
        <v>409</v>
      </c>
      <c r="C130" s="3">
        <f>HYPERLINK("https://mercor.com", "https://mercor.com")</f>
      </c>
      <c r="D130" s="2" t="s">
        <v>410</v>
      </c>
      <c r="E130" s="2" t="s">
        <v>387</v>
      </c>
      <c r="F130" s="5" t="s">
        <v>39</v>
      </c>
      <c r="G130" s="2" t="s">
        <v>18</v>
      </c>
      <c r="H130" s="2" t="s">
        <v>411</v>
      </c>
      <c r="I130" s="2" t="s">
        <v>15</v>
      </c>
    </row>
    <row r="131" spans="1:9" s="2" customFormat="1" x14ac:dyDescent="0.25">
      <c r="A131" s="2">
        <v>130</v>
      </c>
      <c r="B131" s="2" t="s">
        <v>412</v>
      </c>
      <c r="C131" s="3">
        <f>HYPERLINK("https://notion.so", "https://notion.so")</f>
      </c>
      <c r="D131" s="2" t="s">
        <v>413</v>
      </c>
      <c r="E131" s="2" t="s">
        <v>387</v>
      </c>
      <c r="F131" s="5" t="s">
        <v>39</v>
      </c>
      <c r="G131" s="2" t="s">
        <v>18</v>
      </c>
      <c r="H131" s="2" t="s">
        <v>414</v>
      </c>
      <c r="I131" s="2" t="s">
        <v>15</v>
      </c>
    </row>
    <row r="132" spans="1:9" s="2" customFormat="1" x14ac:dyDescent="0.25">
      <c r="A132" s="2">
        <v>131</v>
      </c>
      <c r="B132" s="2" t="s">
        <v>415</v>
      </c>
      <c r="C132" s="3">
        <f>HYPERLINK("https://reflect.app", "https://reflect.app")</f>
      </c>
      <c r="D132" s="2" t="s">
        <v>416</v>
      </c>
      <c r="E132" s="2" t="s">
        <v>387</v>
      </c>
      <c r="F132" s="5" t="s">
        <v>39</v>
      </c>
      <c r="G132" s="2" t="s">
        <v>18</v>
      </c>
      <c r="H132" s="2" t="s">
        <v>417</v>
      </c>
      <c r="I132" s="2" t="s">
        <v>15</v>
      </c>
    </row>
    <row r="133" spans="1:9" s="2" customFormat="1" x14ac:dyDescent="0.25">
      <c r="A133" s="2">
        <v>132</v>
      </c>
      <c r="B133" s="2" t="s">
        <v>418</v>
      </c>
      <c r="C133" s="3">
        <f>HYPERLINK("https://resend.com", "https://resend.com")</f>
      </c>
      <c r="D133" s="2" t="s">
        <v>419</v>
      </c>
      <c r="E133" s="2" t="s">
        <v>387</v>
      </c>
      <c r="F133" s="5" t="s">
        <v>39</v>
      </c>
      <c r="G133" s="2" t="s">
        <v>18</v>
      </c>
      <c r="H133" s="2" t="s">
        <v>420</v>
      </c>
      <c r="I133" s="2" t="s">
        <v>15</v>
      </c>
    </row>
    <row r="134" spans="1:9" s="2" customFormat="1" x14ac:dyDescent="0.25">
      <c r="A134" s="2">
        <v>133</v>
      </c>
      <c r="B134" s="2" t="s">
        <v>421</v>
      </c>
      <c r="C134" s="3">
        <f>HYPERLINK("https://studioyotta.com", "https://studioyotta.com")</f>
      </c>
      <c r="D134" s="2" t="s">
        <v>422</v>
      </c>
      <c r="E134" s="2" t="s">
        <v>387</v>
      </c>
      <c r="F134" s="5" t="s">
        <v>39</v>
      </c>
      <c r="G134" s="2" t="s">
        <v>32</v>
      </c>
      <c r="H134" s="2" t="s">
        <v>423</v>
      </c>
      <c r="I134" s="2" t="s">
        <v>15</v>
      </c>
    </row>
    <row r="135" spans="1:9" s="2" customFormat="1" x14ac:dyDescent="0.25">
      <c r="A135" s="2">
        <v>134</v>
      </c>
      <c r="B135" s="2" t="s">
        <v>424</v>
      </c>
      <c r="C135" s="3">
        <f>HYPERLINK("https://toolofnorthamerica.com/", "https://toolofnorthamerica.com/")</f>
      </c>
      <c r="D135" s="2" t="s">
        <v>425</v>
      </c>
      <c r="E135" s="2" t="s">
        <v>387</v>
      </c>
      <c r="F135" s="5" t="s">
        <v>39</v>
      </c>
      <c r="G135" s="2" t="s">
        <v>13</v>
      </c>
      <c r="H135" s="2" t="s">
        <v>426</v>
      </c>
      <c r="I135" s="2" t="s">
        <v>15</v>
      </c>
    </row>
    <row r="136" spans="1:9" s="2" customFormat="1" x14ac:dyDescent="0.25">
      <c r="A136" s="2">
        <v>135</v>
      </c>
      <c r="B136" s="2" t="s">
        <v>427</v>
      </c>
      <c r="C136" s="3">
        <f>HYPERLINK("https://tympanus.net/codrops/2022/06/20/inspirational-websites-roundup/", "https://tympanus.net/codrops/2022/06/20/inspirational-websites-roundup/")</f>
      </c>
      <c r="D136" s="2" t="s">
        <v>428</v>
      </c>
      <c r="E136" s="2" t="s">
        <v>387</v>
      </c>
      <c r="F136" s="5" t="s">
        <v>39</v>
      </c>
      <c r="G136" s="2" t="s">
        <v>13</v>
      </c>
      <c r="H136" s="2" t="s">
        <v>429</v>
      </c>
      <c r="I136" s="2" t="s">
        <v>15</v>
      </c>
    </row>
    <row r="137" spans="1:9" s="2" customFormat="1" x14ac:dyDescent="0.25">
      <c r="A137" s="2">
        <v>136</v>
      </c>
      <c r="B137" s="2" t="s">
        <v>430</v>
      </c>
      <c r="C137" s="3">
        <f>HYPERLINK("https://www.guggenheim.org", "https://www.guggenheim.org")</f>
      </c>
      <c r="D137" s="2" t="s">
        <v>431</v>
      </c>
      <c r="E137" s="2" t="s">
        <v>387</v>
      </c>
      <c r="F137" s="9" t="s">
        <v>49</v>
      </c>
      <c r="G137" s="2" t="s">
        <v>25</v>
      </c>
      <c r="H137" s="2" t="s">
        <v>432</v>
      </c>
      <c r="I137" s="2" t="s">
        <v>15</v>
      </c>
    </row>
    <row r="138" spans="1:9" s="2" customFormat="1" x14ac:dyDescent="0.25">
      <c r="A138" s="2">
        <v>137</v>
      </c>
      <c r="B138" s="2" t="s">
        <v>433</v>
      </c>
      <c r="C138" s="3">
        <f>HYPERLINK("https://render.com", "https://render.com")</f>
      </c>
      <c r="D138" s="2" t="s">
        <v>434</v>
      </c>
      <c r="E138" s="2" t="s">
        <v>387</v>
      </c>
      <c r="F138" s="9" t="s">
        <v>49</v>
      </c>
      <c r="G138" s="2" t="s">
        <v>18</v>
      </c>
      <c r="H138" s="2" t="s">
        <v>286</v>
      </c>
      <c r="I138" s="2" t="s">
        <v>15</v>
      </c>
    </row>
    <row r="139" spans="1:9" s="2" customFormat="1" x14ac:dyDescent="0.25">
      <c r="A139" s="2">
        <v>138</v>
      </c>
      <c r="B139" s="2" t="s">
        <v>435</v>
      </c>
      <c r="C139" s="3">
        <f>HYPERLINK("https://www.klim.co", "https://www.klim.co")</f>
      </c>
      <c r="D139" s="2" t="s">
        <v>436</v>
      </c>
      <c r="E139" s="2" t="s">
        <v>437</v>
      </c>
      <c r="F139" s="4" t="s">
        <v>12</v>
      </c>
      <c r="G139" s="2" t="s">
        <v>25</v>
      </c>
      <c r="H139" s="2" t="s">
        <v>438</v>
      </c>
      <c r="I139" s="2" t="s">
        <v>15</v>
      </c>
    </row>
    <row r="140" spans="1:9" s="2" customFormat="1" x14ac:dyDescent="0.25">
      <c r="A140" s="2">
        <v>139</v>
      </c>
      <c r="B140" s="2" t="s">
        <v>439</v>
      </c>
      <c r="C140" s="3">
        <f>HYPERLINK("https://www.atomixnyc.com", "https://www.atomixnyc.com")</f>
      </c>
      <c r="D140" s="2" t="s">
        <v>440</v>
      </c>
      <c r="E140" s="2" t="s">
        <v>437</v>
      </c>
      <c r="F140" s="5" t="s">
        <v>39</v>
      </c>
      <c r="G140" s="2" t="s">
        <v>25</v>
      </c>
      <c r="H140" s="2" t="s">
        <v>441</v>
      </c>
      <c r="I140" s="2" t="s">
        <v>15</v>
      </c>
    </row>
    <row r="141" spans="1:9" s="2" customFormat="1" x14ac:dyDescent="0.25">
      <c r="A141" s="2">
        <v>140</v>
      </c>
      <c r="B141" s="2" t="s">
        <v>442</v>
      </c>
      <c r="C141" s="3">
        <f>HYPERLINK("https://cabbibo.com/", "https://cabbibo.com/")</f>
      </c>
      <c r="D141" s="2" t="s">
        <v>443</v>
      </c>
      <c r="E141" s="2" t="s">
        <v>437</v>
      </c>
      <c r="F141" s="5" t="s">
        <v>39</v>
      </c>
      <c r="G141" s="2" t="s">
        <v>13</v>
      </c>
      <c r="H141" s="2" t="s">
        <v>444</v>
      </c>
      <c r="I141" s="2" t="s">
        <v>15</v>
      </c>
    </row>
    <row r="142" spans="1:9" s="2" customFormat="1" x14ac:dyDescent="0.25">
      <c r="A142" s="2">
        <v>141</v>
      </c>
      <c r="B142" s="2" t="s">
        <v>445</v>
      </c>
      <c r="C142" s="3">
        <f>HYPERLINK("https://claude.ai", "https://claude.ai")</f>
      </c>
      <c r="D142" s="2" t="s">
        <v>446</v>
      </c>
      <c r="E142" s="2" t="s">
        <v>437</v>
      </c>
      <c r="F142" s="5" t="s">
        <v>39</v>
      </c>
      <c r="G142" s="2" t="s">
        <v>18</v>
      </c>
      <c r="H142" s="2" t="s">
        <v>447</v>
      </c>
      <c r="I142" s="2" t="s">
        <v>15</v>
      </c>
    </row>
    <row r="143" spans="1:9" s="2" customFormat="1" x14ac:dyDescent="0.25">
      <c r="A143" s="2">
        <v>142</v>
      </c>
      <c r="B143" s="2" t="s">
        <v>448</v>
      </c>
      <c r="C143" s="3">
        <f>HYPERLINK("https://www.eyemagazine.com", "https://www.eyemagazine.com")</f>
      </c>
      <c r="D143" s="2" t="s">
        <v>449</v>
      </c>
      <c r="E143" s="2" t="s">
        <v>437</v>
      </c>
      <c r="F143" s="5" t="s">
        <v>39</v>
      </c>
      <c r="G143" s="2" t="s">
        <v>25</v>
      </c>
      <c r="H143" s="2" t="s">
        <v>450</v>
      </c>
      <c r="I143" s="2" t="s">
        <v>15</v>
      </c>
    </row>
    <row r="144" spans="1:9" s="2" customFormat="1" x14ac:dyDescent="0.25">
      <c r="A144" s="2">
        <v>143</v>
      </c>
      <c r="B144" s="2" t="s">
        <v>451</v>
      </c>
      <c r="C144" s="3">
        <f>HYPERLINK("https://www.eyeondesign.aiga.org", "https://www.eyeondesign.aiga.org")</f>
      </c>
      <c r="D144" s="2" t="s">
        <v>452</v>
      </c>
      <c r="E144" s="2" t="s">
        <v>437</v>
      </c>
      <c r="F144" s="5" t="s">
        <v>39</v>
      </c>
      <c r="G144" s="2" t="s">
        <v>25</v>
      </c>
      <c r="H144" s="2" t="s">
        <v>453</v>
      </c>
      <c r="I144" s="2" t="s">
        <v>15</v>
      </c>
    </row>
    <row r="145" spans="1:9" s="2" customFormat="1" x14ac:dyDescent="0.25">
      <c r="A145" s="2">
        <v>144</v>
      </c>
      <c r="B145" s="2" t="s">
        <v>454</v>
      </c>
      <c r="C145" s="3">
        <f>HYPERLINK("https://www.grillitype.com", "https://www.grillitype.com")</f>
      </c>
      <c r="D145" s="2" t="s">
        <v>455</v>
      </c>
      <c r="E145" s="2" t="s">
        <v>437</v>
      </c>
      <c r="F145" s="5" t="s">
        <v>39</v>
      </c>
      <c r="G145" s="2" t="s">
        <v>25</v>
      </c>
      <c r="H145" s="2" t="s">
        <v>456</v>
      </c>
      <c r="I145" s="2" t="s">
        <v>15</v>
      </c>
    </row>
    <row r="146" spans="1:9" s="2" customFormat="1" x14ac:dyDescent="0.25">
      <c r="A146" s="2">
        <v>145</v>
      </c>
      <c r="B146" s="2" t="s">
        <v>457</v>
      </c>
      <c r="C146" s="3">
        <f>HYPERLINK("https://hover.me/", "https://hover.me/")</f>
      </c>
      <c r="D146" s="2" t="s">
        <v>458</v>
      </c>
      <c r="E146" s="2" t="s">
        <v>437</v>
      </c>
      <c r="F146" s="5" t="s">
        <v>39</v>
      </c>
      <c r="G146" s="2" t="s">
        <v>13</v>
      </c>
      <c r="H146" s="2" t="s">
        <v>459</v>
      </c>
      <c r="I146" s="2" t="s">
        <v>15</v>
      </c>
    </row>
    <row r="147" spans="1:9" s="2" customFormat="1" x14ac:dyDescent="0.25">
      <c r="A147" s="2">
        <v>146</v>
      </c>
      <c r="B147" s="2" t="s">
        <v>460</v>
      </c>
      <c r="C147" s="3">
        <f>HYPERLINK("https://www.lemaire.fr", "https://www.lemaire.fr")</f>
      </c>
      <c r="D147" s="2" t="s">
        <v>461</v>
      </c>
      <c r="E147" s="2" t="s">
        <v>437</v>
      </c>
      <c r="F147" s="5" t="s">
        <v>39</v>
      </c>
      <c r="G147" s="2" t="s">
        <v>25</v>
      </c>
      <c r="H147" s="2" t="s">
        <v>462</v>
      </c>
      <c r="I147" s="2" t="s">
        <v>15</v>
      </c>
    </row>
    <row r="148" spans="1:9" s="2" customFormat="1" x14ac:dyDescent="0.25">
      <c r="A148" s="2">
        <v>147</v>
      </c>
      <c r="B148" s="2" t="s">
        <v>463</v>
      </c>
      <c r="C148" s="3">
        <f>HYPERLINK("https://notreal.studio", "https://notreal.studio")</f>
      </c>
      <c r="D148" s="2" t="s">
        <v>464</v>
      </c>
      <c r="E148" s="2" t="s">
        <v>437</v>
      </c>
      <c r="F148" s="5" t="s">
        <v>39</v>
      </c>
      <c r="G148" s="2" t="s">
        <v>32</v>
      </c>
      <c r="H148" s="2" t="s">
        <v>465</v>
      </c>
      <c r="I148" s="2" t="s">
        <v>15</v>
      </c>
    </row>
    <row r="149" spans="1:9" s="2" customFormat="1" x14ac:dyDescent="0.25">
      <c r="A149" s="2">
        <v>148</v>
      </c>
      <c r="B149" s="2" t="s">
        <v>466</v>
      </c>
      <c r="C149" s="3">
        <f>HYPERLINK("https://www.ohnotype.com", "https://www.ohnotype.com")</f>
      </c>
      <c r="D149" s="2" t="s">
        <v>467</v>
      </c>
      <c r="E149" s="2" t="s">
        <v>437</v>
      </c>
      <c r="F149" s="5" t="s">
        <v>39</v>
      </c>
      <c r="G149" s="2" t="s">
        <v>25</v>
      </c>
      <c r="H149" s="2" t="s">
        <v>468</v>
      </c>
      <c r="I149" s="2" t="s">
        <v>15</v>
      </c>
    </row>
    <row r="150" spans="1:9" s="2" customFormat="1" x14ac:dyDescent="0.25">
      <c r="A150" s="2">
        <v>149</v>
      </c>
      <c r="B150" s="2" t="s">
        <v>469</v>
      </c>
      <c r="C150" s="3">
        <f>HYPERLINK("https://www.pinupmagazine.com", "https://www.pinupmagazine.com")</f>
      </c>
      <c r="D150" s="2" t="s">
        <v>470</v>
      </c>
      <c r="E150" s="2" t="s">
        <v>437</v>
      </c>
      <c r="F150" s="5" t="s">
        <v>39</v>
      </c>
      <c r="G150" s="2" t="s">
        <v>25</v>
      </c>
      <c r="H150" s="2" t="s">
        <v>471</v>
      </c>
      <c r="I150" s="2" t="s">
        <v>15</v>
      </c>
    </row>
    <row r="151" spans="1:9" s="2" customFormat="1" x14ac:dyDescent="0.25">
      <c r="A151" s="2">
        <v>150</v>
      </c>
      <c r="B151" s="2" t="s">
        <v>472</v>
      </c>
      <c r="C151" s="3">
        <f>HYPERLINK("https://raycast.com/store", "https://raycast.com/store")</f>
      </c>
      <c r="D151" s="2" t="s">
        <v>473</v>
      </c>
      <c r="E151" s="2" t="s">
        <v>437</v>
      </c>
      <c r="F151" s="5" t="s">
        <v>39</v>
      </c>
      <c r="G151" s="2" t="s">
        <v>18</v>
      </c>
      <c r="H151" s="2" t="s">
        <v>474</v>
      </c>
      <c r="I151" s="2" t="s">
        <v>15</v>
      </c>
    </row>
    <row r="152" spans="1:9" s="2" customFormat="1" x14ac:dyDescent="0.25">
      <c r="A152" s="2">
        <v>151</v>
      </c>
      <c r="B152" s="2" t="s">
        <v>475</v>
      </c>
      <c r="C152" s="3">
        <f>HYPERLINK("https://replicate.com", "https://replicate.com")</f>
      </c>
      <c r="D152" s="2" t="s">
        <v>476</v>
      </c>
      <c r="E152" s="2" t="s">
        <v>437</v>
      </c>
      <c r="F152" s="5" t="s">
        <v>39</v>
      </c>
      <c r="G152" s="2" t="s">
        <v>18</v>
      </c>
      <c r="H152" s="2" t="s">
        <v>477</v>
      </c>
      <c r="I152" s="2" t="s">
        <v>15</v>
      </c>
    </row>
    <row r="153" spans="1:9" s="2" customFormat="1" x14ac:dyDescent="0.25">
      <c r="A153" s="2">
        <v>152</v>
      </c>
      <c r="B153" s="2" t="s">
        <v>478</v>
      </c>
      <c r="C153" s="3">
        <f>HYPERLINK("https://replit.com", "https://replit.com")</f>
      </c>
      <c r="D153" s="2" t="s">
        <v>479</v>
      </c>
      <c r="E153" s="2" t="s">
        <v>437</v>
      </c>
      <c r="F153" s="5" t="s">
        <v>39</v>
      </c>
      <c r="G153" s="2" t="s">
        <v>18</v>
      </c>
      <c r="H153" s="2" t="s">
        <v>323</v>
      </c>
      <c r="I153" s="2" t="s">
        <v>15</v>
      </c>
    </row>
    <row r="154" spans="1:9" s="2" customFormat="1" x14ac:dyDescent="0.25">
      <c r="A154" s="2">
        <v>153</v>
      </c>
      <c r="B154" s="2" t="s">
        <v>480</v>
      </c>
      <c r="C154" s="3">
        <f>HYPERLINK("https://www.sharptype.com", "https://www.sharptype.com")</f>
      </c>
      <c r="D154" s="2" t="s">
        <v>481</v>
      </c>
      <c r="E154" s="2" t="s">
        <v>437</v>
      </c>
      <c r="F154" s="5" t="s">
        <v>39</v>
      </c>
      <c r="G154" s="2" t="s">
        <v>25</v>
      </c>
      <c r="H154" s="2" t="s">
        <v>482</v>
      </c>
      <c r="I154" s="2" t="s">
        <v>15</v>
      </c>
    </row>
    <row r="155" spans="1:9" s="2" customFormat="1" x14ac:dyDescent="0.25">
      <c r="A155" s="2">
        <v>154</v>
      </c>
      <c r="B155" s="2" t="s">
        <v>483</v>
      </c>
      <c r="C155" s="3">
        <f>HYPERLINK("https://superrare.com/", "https://superrare.com/")</f>
      </c>
      <c r="D155" s="2" t="s">
        <v>484</v>
      </c>
      <c r="E155" s="2" t="s">
        <v>437</v>
      </c>
      <c r="F155" s="5" t="s">
        <v>39</v>
      </c>
      <c r="G155" s="2" t="s">
        <v>13</v>
      </c>
      <c r="H155" s="2" t="s">
        <v>485</v>
      </c>
      <c r="I155" s="2" t="s">
        <v>15</v>
      </c>
    </row>
    <row r="156" spans="1:9" s="6" customFormat="1" x14ac:dyDescent="0.25">
      <c r="A156" s="6">
        <v>155</v>
      </c>
      <c r="B156" s="6" t="s">
        <v>486</v>
      </c>
      <c r="C156" s="7">
        <f>HYPERLINK("https://unit9.com", "https://unit9.com")</f>
      </c>
      <c r="D156" s="6" t="s">
        <v>487</v>
      </c>
      <c r="E156" s="6" t="s">
        <v>437</v>
      </c>
      <c r="F156" s="8" t="s">
        <v>39</v>
      </c>
      <c r="G156" s="6" t="s">
        <v>32</v>
      </c>
      <c r="H156" s="6" t="s">
        <v>488</v>
      </c>
      <c r="I156" s="6" t="s">
        <v>15</v>
      </c>
    </row>
    <row r="157" spans="1:9" s="6" customFormat="1" x14ac:dyDescent="0.25">
      <c r="A157" s="6">
        <v>156</v>
      </c>
      <c r="B157" s="6" t="s">
        <v>489</v>
      </c>
      <c r="C157" s="7">
        <f>HYPERLINK("https://www.unit9.com/", "https://www.unit9.com/")</f>
      </c>
      <c r="D157" s="6" t="s">
        <v>490</v>
      </c>
      <c r="E157" s="6" t="s">
        <v>437</v>
      </c>
      <c r="F157" s="8" t="s">
        <v>39</v>
      </c>
      <c r="G157" s="6" t="s">
        <v>13</v>
      </c>
      <c r="H157" s="6" t="s">
        <v>491</v>
      </c>
      <c r="I157" s="6" t="s">
        <v>15</v>
      </c>
    </row>
    <row r="158" spans="1:9" s="2" customFormat="1" x14ac:dyDescent="0.25">
      <c r="A158" s="2">
        <v>157</v>
      </c>
      <c r="B158" s="2" t="s">
        <v>492</v>
      </c>
      <c r="C158" s="3">
        <f>HYPERLINK("https://www.vam.ac.uk", "https://www.vam.ac.uk")</f>
      </c>
      <c r="D158" s="2" t="s">
        <v>493</v>
      </c>
      <c r="E158" s="2" t="s">
        <v>437</v>
      </c>
      <c r="F158" s="5" t="s">
        <v>39</v>
      </c>
      <c r="G158" s="2" t="s">
        <v>25</v>
      </c>
      <c r="H158" s="2" t="s">
        <v>494</v>
      </c>
      <c r="I158" s="2" t="s">
        <v>15</v>
      </c>
    </row>
    <row r="159" spans="1:9" s="2" customFormat="1" x14ac:dyDescent="0.25">
      <c r="A159" s="2">
        <v>158</v>
      </c>
      <c r="B159" s="2" t="s">
        <v>495</v>
      </c>
      <c r="C159" s="3">
        <f>HYPERLINK("https://www.boldmonday.com", "https://www.boldmonday.com")</f>
      </c>
      <c r="D159" s="2" t="s">
        <v>496</v>
      </c>
      <c r="E159" s="2" t="s">
        <v>437</v>
      </c>
      <c r="F159" s="9" t="s">
        <v>49</v>
      </c>
      <c r="G159" s="2" t="s">
        <v>25</v>
      </c>
      <c r="H159" s="2" t="s">
        <v>497</v>
      </c>
      <c r="I159" s="2" t="s">
        <v>15</v>
      </c>
    </row>
    <row r="160" spans="1:9" s="2" customFormat="1" x14ac:dyDescent="0.25">
      <c r="A160" s="2">
        <v>159</v>
      </c>
      <c r="B160" s="2" t="s">
        <v>498</v>
      </c>
      <c r="C160" s="3">
        <f>HYPERLINK("https://www.cosme.restaurant", "https://www.cosme.restaurant")</f>
      </c>
      <c r="D160" s="2" t="s">
        <v>499</v>
      </c>
      <c r="E160" s="2" t="s">
        <v>437</v>
      </c>
      <c r="F160" s="9" t="s">
        <v>49</v>
      </c>
      <c r="G160" s="2" t="s">
        <v>25</v>
      </c>
      <c r="H160" s="2" t="s">
        <v>289</v>
      </c>
      <c r="I160" s="2" t="s">
        <v>15</v>
      </c>
    </row>
    <row r="161" spans="1:9" s="2" customFormat="1" x14ac:dyDescent="0.25">
      <c r="A161" s="2">
        <v>160</v>
      </c>
      <c r="B161" s="2" t="s">
        <v>500</v>
      </c>
      <c r="C161" s="3">
        <f>HYPERLINK("https://www.khaite.com", "https://www.khaite.com")</f>
      </c>
      <c r="D161" s="2" t="s">
        <v>501</v>
      </c>
      <c r="E161" s="2" t="s">
        <v>437</v>
      </c>
      <c r="F161" s="9" t="s">
        <v>49</v>
      </c>
      <c r="G161" s="2" t="s">
        <v>25</v>
      </c>
      <c r="H161" s="2" t="s">
        <v>502</v>
      </c>
      <c r="I161" s="2" t="s">
        <v>15</v>
      </c>
    </row>
    <row r="162" spans="1:9" s="2" customFormat="1" x14ac:dyDescent="0.25">
      <c r="A162" s="2">
        <v>161</v>
      </c>
      <c r="B162" s="2" t="s">
        <v>503</v>
      </c>
      <c r="C162" s="3">
        <f>HYPERLINK("https://www.optimumweb.com", "https://www.optimumweb.com")</f>
      </c>
      <c r="D162" s="2" t="s">
        <v>504</v>
      </c>
      <c r="E162" s="2" t="s">
        <v>437</v>
      </c>
      <c r="F162" s="9" t="s">
        <v>49</v>
      </c>
      <c r="G162" s="2" t="s">
        <v>25</v>
      </c>
      <c r="H162" s="2" t="s">
        <v>505</v>
      </c>
      <c r="I162" s="2" t="s">
        <v>15</v>
      </c>
    </row>
    <row r="163" spans="1:9" s="2" customFormat="1" x14ac:dyDescent="0.25">
      <c r="A163" s="2">
        <v>162</v>
      </c>
      <c r="B163" s="2" t="s">
        <v>506</v>
      </c>
      <c r="C163" s="3">
        <f>HYPERLINK("https://ustwo.com", "https://ustwo.com")</f>
      </c>
      <c r="D163" s="2" t="s">
        <v>507</v>
      </c>
      <c r="E163" s="2" t="s">
        <v>437</v>
      </c>
      <c r="F163" s="9" t="s">
        <v>49</v>
      </c>
      <c r="G163" s="2" t="s">
        <v>32</v>
      </c>
      <c r="H163" s="2" t="s">
        <v>508</v>
      </c>
      <c r="I163" s="2" t="s">
        <v>15</v>
      </c>
    </row>
    <row r="164" spans="1:9" s="2" customFormat="1" x14ac:dyDescent="0.25">
      <c r="A164" s="2">
        <v>163</v>
      </c>
      <c r="B164" s="2" t="s">
        <v>509</v>
      </c>
      <c r="C164" s="3">
        <f>HYPERLINK("https://rtfkt.com/", "https://rtfkt.com/")</f>
      </c>
      <c r="D164" s="2" t="s">
        <v>510</v>
      </c>
      <c r="E164" s="2" t="s">
        <v>511</v>
      </c>
      <c r="F164" s="4" t="s">
        <v>12</v>
      </c>
      <c r="G164" s="2" t="s">
        <v>13</v>
      </c>
      <c r="H164" s="2" t="s">
        <v>512</v>
      </c>
      <c r="I164" s="2" t="s">
        <v>15</v>
      </c>
    </row>
    <row r="165" spans="1:9" s="2" customFormat="1" x14ac:dyDescent="0.25">
      <c r="A165" s="2">
        <v>164</v>
      </c>
      <c r="B165" s="2" t="s">
        <v>513</v>
      </c>
      <c r="C165" s="3">
        <f>HYPERLINK("https://bethesda.net/game/starfield", "https://bethesda.net/game/starfield")</f>
      </c>
      <c r="D165" s="2" t="s">
        <v>514</v>
      </c>
      <c r="E165" s="2" t="s">
        <v>511</v>
      </c>
      <c r="F165" s="5" t="s">
        <v>39</v>
      </c>
      <c r="G165" s="2" t="s">
        <v>13</v>
      </c>
      <c r="H165" s="2" t="s">
        <v>515</v>
      </c>
      <c r="I165" s="2" t="s">
        <v>15</v>
      </c>
    </row>
    <row r="166" spans="1:9" s="2" customFormat="1" x14ac:dyDescent="0.25">
      <c r="A166" s="2">
        <v>165</v>
      </c>
      <c r="B166" s="2" t="s">
        <v>516</v>
      </c>
      <c r="C166" s="3">
        <f>HYPERLINK("https://coppola.agency", "https://coppola.agency")</f>
      </c>
      <c r="D166" s="2" t="s">
        <v>517</v>
      </c>
      <c r="E166" s="2" t="s">
        <v>511</v>
      </c>
      <c r="F166" s="5" t="s">
        <v>39</v>
      </c>
      <c r="G166" s="2" t="s">
        <v>32</v>
      </c>
      <c r="H166" s="2" t="s">
        <v>518</v>
      </c>
      <c r="I166" s="2" t="s">
        <v>15</v>
      </c>
    </row>
    <row r="167" spans="1:9" s="2" customFormat="1" x14ac:dyDescent="0.25">
      <c r="A167" s="2">
        <v>166</v>
      </c>
      <c r="B167" s="2" t="s">
        <v>519</v>
      </c>
      <c r="C167" s="3">
        <f>HYPERLINK("https://glass.xyz/", "https://glass.xyz/")</f>
      </c>
      <c r="D167" s="2" t="s">
        <v>520</v>
      </c>
      <c r="E167" s="2" t="s">
        <v>511</v>
      </c>
      <c r="F167" s="5" t="s">
        <v>39</v>
      </c>
      <c r="G167" s="2" t="s">
        <v>13</v>
      </c>
      <c r="H167" s="2" t="s">
        <v>521</v>
      </c>
      <c r="I167" s="2" t="s">
        <v>15</v>
      </c>
    </row>
    <row r="168" spans="1:9" s="2" customFormat="1" x14ac:dyDescent="0.25">
      <c r="A168" s="2">
        <v>167</v>
      </c>
      <c r="B168" s="2" t="s">
        <v>522</v>
      </c>
      <c r="C168" s="3">
        <f>HYPERLINK("https://highlight.xyz", "https://highlight.xyz")</f>
      </c>
      <c r="D168" s="2" t="s">
        <v>523</v>
      </c>
      <c r="E168" s="2" t="s">
        <v>511</v>
      </c>
      <c r="F168" s="5" t="s">
        <v>39</v>
      </c>
      <c r="G168" s="2" t="s">
        <v>18</v>
      </c>
      <c r="H168" s="2" t="s">
        <v>524</v>
      </c>
      <c r="I168" s="2" t="s">
        <v>15</v>
      </c>
    </row>
    <row r="169" spans="1:9" s="2" customFormat="1" x14ac:dyDescent="0.25">
      <c r="A169" s="2">
        <v>168</v>
      </c>
      <c r="B169" s="2" t="s">
        <v>525</v>
      </c>
      <c r="C169" s="3">
        <f>HYPERLINK("https://labase.tech", "https://labase.tech")</f>
      </c>
      <c r="D169" s="2" t="s">
        <v>526</v>
      </c>
      <c r="E169" s="2" t="s">
        <v>511</v>
      </c>
      <c r="F169" s="5" t="s">
        <v>39</v>
      </c>
      <c r="G169" s="2" t="s">
        <v>32</v>
      </c>
      <c r="H169" s="2" t="s">
        <v>527</v>
      </c>
      <c r="I169" s="2" t="s">
        <v>15</v>
      </c>
    </row>
    <row r="170" spans="1:9" s="2" customFormat="1" x14ac:dyDescent="0.25">
      <c r="A170" s="2">
        <v>169</v>
      </c>
      <c r="B170" s="2" t="s">
        <v>528</v>
      </c>
      <c r="C170" s="3">
        <f>HYPERLINK("https://mirror.xyz/", "https://mirror.xyz/")</f>
      </c>
      <c r="D170" s="2" t="s">
        <v>529</v>
      </c>
      <c r="E170" s="2" t="s">
        <v>511</v>
      </c>
      <c r="F170" s="5" t="s">
        <v>39</v>
      </c>
      <c r="G170" s="2" t="s">
        <v>13</v>
      </c>
      <c r="H170" s="2" t="s">
        <v>530</v>
      </c>
      <c r="I170" s="2" t="s">
        <v>15</v>
      </c>
    </row>
    <row r="171" spans="1:9" s="2" customFormat="1" x14ac:dyDescent="0.25">
      <c r="A171" s="2">
        <v>170</v>
      </c>
      <c r="B171" s="2" t="s">
        <v>531</v>
      </c>
      <c r="C171" s="3">
        <f>HYPERLINK("https://rga.com", "https://rga.com")</f>
      </c>
      <c r="D171" s="2" t="s">
        <v>532</v>
      </c>
      <c r="E171" s="2" t="s">
        <v>511</v>
      </c>
      <c r="F171" s="5" t="s">
        <v>39</v>
      </c>
      <c r="G171" s="2" t="s">
        <v>32</v>
      </c>
      <c r="H171" s="2" t="s">
        <v>533</v>
      </c>
      <c r="I171" s="2" t="s">
        <v>15</v>
      </c>
    </row>
    <row r="172" spans="1:9" s="2" customFormat="1" x14ac:dyDescent="0.25">
      <c r="A172" s="2">
        <v>171</v>
      </c>
      <c r="B172" s="2" t="s">
        <v>534</v>
      </c>
      <c r="C172" s="3">
        <f>HYPERLINK("https://vercel.com/ship", "https://vercel.com/ship")</f>
      </c>
      <c r="D172" s="2" t="s">
        <v>535</v>
      </c>
      <c r="E172" s="2" t="s">
        <v>511</v>
      </c>
      <c r="F172" s="5" t="s">
        <v>39</v>
      </c>
      <c r="G172" s="2" t="s">
        <v>18</v>
      </c>
      <c r="H172" s="2" t="s">
        <v>536</v>
      </c>
      <c r="I172" s="2" t="s">
        <v>15</v>
      </c>
    </row>
    <row r="173" spans="1:9" s="2" customFormat="1" x14ac:dyDescent="0.25">
      <c r="A173" s="2">
        <v>172</v>
      </c>
      <c r="B173" s="2" t="s">
        <v>537</v>
      </c>
      <c r="C173" s="3">
        <f>HYPERLINK("https://height.app", "https://height.app")</f>
      </c>
      <c r="D173" s="2" t="s">
        <v>538</v>
      </c>
      <c r="E173" s="2" t="s">
        <v>511</v>
      </c>
      <c r="F173" s="9" t="s">
        <v>49</v>
      </c>
      <c r="G173" s="2" t="s">
        <v>18</v>
      </c>
      <c r="H173" s="2" t="s">
        <v>417</v>
      </c>
      <c r="I173" s="2" t="s">
        <v>15</v>
      </c>
    </row>
    <row r="174" spans="1:9" s="2" customFormat="1" x14ac:dyDescent="0.25">
      <c r="A174" s="2">
        <v>173</v>
      </c>
      <c r="B174" s="2" t="s">
        <v>539</v>
      </c>
      <c r="C174" s="3">
        <f>HYPERLINK("https://neon.tech", "https://neon.tech")</f>
      </c>
      <c r="D174" s="2" t="s">
        <v>540</v>
      </c>
      <c r="E174" s="2" t="s">
        <v>511</v>
      </c>
      <c r="F174" s="9" t="s">
        <v>49</v>
      </c>
      <c r="G174" s="2" t="s">
        <v>18</v>
      </c>
      <c r="H174" s="2" t="s">
        <v>286</v>
      </c>
      <c r="I174" s="2" t="s">
        <v>15</v>
      </c>
    </row>
    <row r="175" spans="1:9" s="6" customFormat="1" x14ac:dyDescent="0.25">
      <c r="A175" s="6">
        <v>174</v>
      </c>
      <c r="B175" s="6" t="s">
        <v>541</v>
      </c>
      <c r="C175" s="6" t="s">
        <v>15</v>
      </c>
      <c r="D175" s="6" t="s">
        <v>542</v>
      </c>
      <c r="E175" s="6" t="s">
        <v>511</v>
      </c>
      <c r="F175" s="10" t="s">
        <v>49</v>
      </c>
      <c r="G175" s="6" t="s">
        <v>13</v>
      </c>
      <c r="H175" s="6" t="s">
        <v>543</v>
      </c>
      <c r="I175" s="6" t="s">
        <v>54</v>
      </c>
    </row>
    <row r="176" spans="1:9" s="6" customFormat="1" x14ac:dyDescent="0.25">
      <c r="A176" s="6">
        <v>175</v>
      </c>
      <c r="B176" s="6" t="s">
        <v>544</v>
      </c>
      <c r="C176" s="7">
        <f>HYPERLINK("https://activetheory.net", "https://activetheory.net")</f>
      </c>
      <c r="D176" s="6" t="s">
        <v>545</v>
      </c>
      <c r="E176" s="6" t="s">
        <v>546</v>
      </c>
      <c r="F176" s="11" t="s">
        <v>12</v>
      </c>
      <c r="G176" s="6" t="s">
        <v>32</v>
      </c>
      <c r="H176" s="6" t="s">
        <v>547</v>
      </c>
      <c r="I176" s="6" t="s">
        <v>15</v>
      </c>
    </row>
    <row r="177" spans="1:9" s="6" customFormat="1" x14ac:dyDescent="0.25">
      <c r="A177" s="6">
        <v>176</v>
      </c>
      <c r="B177" s="6" t="s">
        <v>548</v>
      </c>
      <c r="C177" s="7">
        <f>HYPERLINK("https://kadenwood.com", "https://kadenwood.com")</f>
      </c>
      <c r="D177" s="6" t="s">
        <v>549</v>
      </c>
      <c r="E177" s="6" t="s">
        <v>546</v>
      </c>
      <c r="F177" s="11" t="s">
        <v>12</v>
      </c>
      <c r="G177" s="6" t="s">
        <v>32</v>
      </c>
      <c r="H177" s="6" t="s">
        <v>550</v>
      </c>
      <c r="I177" s="6" t="s">
        <v>15</v>
      </c>
    </row>
    <row r="178" spans="1:9" s="2" customFormat="1" x14ac:dyDescent="0.25">
      <c r="A178" s="2">
        <v>177</v>
      </c>
      <c r="B178" s="2" t="s">
        <v>551</v>
      </c>
      <c r="C178" s="3">
        <f>HYPERLINK("https://play.date/", "https://play.date/")</f>
      </c>
      <c r="D178" s="2" t="s">
        <v>552</v>
      </c>
      <c r="E178" s="2" t="s">
        <v>546</v>
      </c>
      <c r="F178" s="4" t="s">
        <v>12</v>
      </c>
      <c r="G178" s="2" t="s">
        <v>13</v>
      </c>
      <c r="H178" s="2" t="s">
        <v>553</v>
      </c>
      <c r="I178" s="2" t="s">
        <v>15</v>
      </c>
    </row>
    <row r="179" spans="1:9" s="2" customFormat="1" x14ac:dyDescent="0.25">
      <c r="A179" s="2">
        <v>178</v>
      </c>
      <c r="B179" s="2" t="s">
        <v>554</v>
      </c>
      <c r="C179" s="3">
        <f>HYPERLINK("https://www.spikeartmagazine.com", "https://www.spikeartmagazine.com")</f>
      </c>
      <c r="D179" s="2" t="s">
        <v>555</v>
      </c>
      <c r="E179" s="2" t="s">
        <v>546</v>
      </c>
      <c r="F179" s="4" t="s">
        <v>12</v>
      </c>
      <c r="G179" s="2" t="s">
        <v>25</v>
      </c>
      <c r="H179" s="2" t="s">
        <v>556</v>
      </c>
      <c r="I179" s="2" t="s">
        <v>15</v>
      </c>
    </row>
    <row r="180" spans="1:9" s="2" customFormat="1" x14ac:dyDescent="0.25">
      <c r="A180" s="2">
        <v>179</v>
      </c>
      <c r="B180" s="2" t="s">
        <v>557</v>
      </c>
      <c r="C180" s="3">
        <f>HYPERLINK("https://www.wallpaper.com", "https://www.wallpaper.com")</f>
      </c>
      <c r="D180" s="2" t="s">
        <v>558</v>
      </c>
      <c r="E180" s="2" t="s">
        <v>546</v>
      </c>
      <c r="F180" s="4" t="s">
        <v>12</v>
      </c>
      <c r="G180" s="2" t="s">
        <v>25</v>
      </c>
      <c r="H180" s="2" t="s">
        <v>559</v>
      </c>
      <c r="I180" s="2" t="s">
        <v>15</v>
      </c>
    </row>
    <row r="181" spans="1:9" s="2" customFormat="1" x14ac:dyDescent="0.25">
      <c r="A181" s="2">
        <v>180</v>
      </c>
      <c r="B181" s="2" t="s">
        <v>560</v>
      </c>
      <c r="C181" s="3">
        <f>HYPERLINK("https://www.asai-tokyo.jp", "https://www.asai-tokyo.jp")</f>
      </c>
      <c r="D181" s="2" t="s">
        <v>561</v>
      </c>
      <c r="E181" s="2" t="s">
        <v>546</v>
      </c>
      <c r="F181" s="5" t="s">
        <v>39</v>
      </c>
      <c r="G181" s="2" t="s">
        <v>25</v>
      </c>
      <c r="H181" s="2" t="s">
        <v>562</v>
      </c>
      <c r="I181" s="2" t="s">
        <v>15</v>
      </c>
    </row>
    <row r="182" spans="1:9" s="2" customFormat="1" x14ac:dyDescent="0.25">
      <c r="A182" s="2">
        <v>181</v>
      </c>
      <c r="B182" s="2" t="s">
        <v>563</v>
      </c>
      <c r="C182" s="3">
        <f>HYPERLINK("https://bradleytaub.com/", "https://bradleytaub.com/")</f>
      </c>
      <c r="D182" s="2" t="s">
        <v>564</v>
      </c>
      <c r="E182" s="2" t="s">
        <v>546</v>
      </c>
      <c r="F182" s="5" t="s">
        <v>39</v>
      </c>
      <c r="G182" s="2" t="s">
        <v>13</v>
      </c>
      <c r="H182" s="2" t="s">
        <v>565</v>
      </c>
      <c r="I182" s="2" t="s">
        <v>15</v>
      </c>
    </row>
    <row r="183" spans="1:9" s="2" customFormat="1" x14ac:dyDescent="0.25">
      <c r="A183" s="2">
        <v>182</v>
      </c>
      <c r="B183" s="2" t="s">
        <v>566</v>
      </c>
      <c r="C183" s="3">
        <f>HYPERLINK("https://www.cooperhewitt.org", "https://www.cooperhewitt.org")</f>
      </c>
      <c r="D183" s="2" t="s">
        <v>567</v>
      </c>
      <c r="E183" s="2" t="s">
        <v>546</v>
      </c>
      <c r="F183" s="5" t="s">
        <v>39</v>
      </c>
      <c r="G183" s="2" t="s">
        <v>25</v>
      </c>
      <c r="H183" s="2" t="s">
        <v>568</v>
      </c>
      <c r="I183" s="2" t="s">
        <v>15</v>
      </c>
    </row>
    <row r="184" spans="1:9" s="2" customFormat="1" x14ac:dyDescent="0.25">
      <c r="A184" s="2">
        <v>183</v>
      </c>
      <c r="B184" s="2" t="s">
        <v>569</v>
      </c>
      <c r="C184" s="3">
        <f>HYPERLINK("https://figma.com", "https://figma.com")</f>
      </c>
      <c r="D184" s="2" t="s">
        <v>570</v>
      </c>
      <c r="E184" s="2" t="s">
        <v>546</v>
      </c>
      <c r="F184" s="5" t="s">
        <v>39</v>
      </c>
      <c r="G184" s="2" t="s">
        <v>18</v>
      </c>
      <c r="H184" s="2" t="s">
        <v>571</v>
      </c>
      <c r="I184" s="2" t="s">
        <v>15</v>
      </c>
    </row>
    <row r="185" spans="1:9" s="2" customFormat="1" x14ac:dyDescent="0.25">
      <c r="A185" s="2">
        <v>184</v>
      </c>
      <c r="B185" s="2" t="s">
        <v>572</v>
      </c>
      <c r="C185" s="3">
        <f>HYPERLINK("https://www.frieze.com", "https://www.frieze.com")</f>
      </c>
      <c r="D185" s="2" t="s">
        <v>573</v>
      </c>
      <c r="E185" s="2" t="s">
        <v>546</v>
      </c>
      <c r="F185" s="5" t="s">
        <v>39</v>
      </c>
      <c r="G185" s="2" t="s">
        <v>25</v>
      </c>
      <c r="H185" s="2" t="s">
        <v>574</v>
      </c>
      <c r="I185" s="2" t="s">
        <v>15</v>
      </c>
    </row>
    <row r="186" spans="1:9" s="2" customFormat="1" x14ac:dyDescent="0.25">
      <c r="A186" s="2">
        <v>185</v>
      </c>
      <c r="B186" s="2" t="s">
        <v>575</v>
      </c>
      <c r="C186" s="3">
        <f>HYPERLINK("https://granola.ai", "https://granola.ai")</f>
      </c>
      <c r="D186" s="2" t="s">
        <v>576</v>
      </c>
      <c r="E186" s="2" t="s">
        <v>546</v>
      </c>
      <c r="F186" s="5" t="s">
        <v>39</v>
      </c>
      <c r="G186" s="2" t="s">
        <v>18</v>
      </c>
      <c r="H186" s="2" t="s">
        <v>577</v>
      </c>
      <c r="I186" s="2" t="s">
        <v>15</v>
      </c>
    </row>
    <row r="187" spans="1:9" s="2" customFormat="1" x14ac:dyDescent="0.25">
      <c r="A187" s="2">
        <v>186</v>
      </c>
      <c r="B187" s="2" t="s">
        <v>578</v>
      </c>
      <c r="C187" s="3">
        <f>HYPERLINK("https://vault.gucci.com/", "https://vault.gucci.com/")</f>
      </c>
      <c r="D187" s="2" t="s">
        <v>579</v>
      </c>
      <c r="E187" s="2" t="s">
        <v>546</v>
      </c>
      <c r="F187" s="5" t="s">
        <v>39</v>
      </c>
      <c r="G187" s="2" t="s">
        <v>13</v>
      </c>
      <c r="H187" s="2" t="s">
        <v>580</v>
      </c>
      <c r="I187" s="2" t="s">
        <v>15</v>
      </c>
    </row>
    <row r="188" spans="1:9" s="2" customFormat="1" x14ac:dyDescent="0.25">
      <c r="A188" s="2">
        <v>187</v>
      </c>
      <c r="B188" s="2" t="s">
        <v>581</v>
      </c>
      <c r="C188" s="3">
        <f>HYPERLINK("https://mintlify.com", "https://mintlify.com")</f>
      </c>
      <c r="D188" s="2" t="s">
        <v>582</v>
      </c>
      <c r="E188" s="2" t="s">
        <v>546</v>
      </c>
      <c r="F188" s="5" t="s">
        <v>39</v>
      </c>
      <c r="G188" s="2" t="s">
        <v>18</v>
      </c>
      <c r="H188" s="2" t="s">
        <v>583</v>
      </c>
      <c r="I188" s="2" t="s">
        <v>15</v>
      </c>
    </row>
    <row r="189" spans="1:9" s="2" customFormat="1" x14ac:dyDescent="0.25">
      <c r="A189" s="2">
        <v>188</v>
      </c>
      <c r="B189" s="2" t="s">
        <v>584</v>
      </c>
      <c r="C189" s="3">
        <f>HYPERLINK("https://www.moma.org", "https://www.moma.org")</f>
      </c>
      <c r="D189" s="2" t="s">
        <v>585</v>
      </c>
      <c r="E189" s="2" t="s">
        <v>546</v>
      </c>
      <c r="F189" s="5" t="s">
        <v>39</v>
      </c>
      <c r="G189" s="2" t="s">
        <v>25</v>
      </c>
      <c r="H189" s="2" t="s">
        <v>586</v>
      </c>
      <c r="I189" s="2" t="s">
        <v>15</v>
      </c>
    </row>
    <row r="190" spans="1:9" s="2" customFormat="1" x14ac:dyDescent="0.25">
      <c r="A190" s="2">
        <v>189</v>
      </c>
      <c r="B190" s="2" t="s">
        <v>587</v>
      </c>
      <c r="C190" s="3">
        <f>HYPERLINK("https://www.naughtydog.com/", "https://www.naughtydog.com/")</f>
      </c>
      <c r="D190" s="2" t="s">
        <v>588</v>
      </c>
      <c r="E190" s="2" t="s">
        <v>546</v>
      </c>
      <c r="F190" s="5" t="s">
        <v>39</v>
      </c>
      <c r="G190" s="2" t="s">
        <v>13</v>
      </c>
      <c r="H190" s="2" t="s">
        <v>589</v>
      </c>
      <c r="I190" s="2" t="s">
        <v>15</v>
      </c>
    </row>
    <row r="191" spans="1:9" s="2" customFormat="1" x14ac:dyDescent="0.25">
      <c r="A191" s="2">
        <v>190</v>
      </c>
      <c r="B191" s="2" t="s">
        <v>590</v>
      </c>
      <c r="C191" s="3">
        <f>HYPERLINK("https://www.swoosh.nike/", "https://www.swoosh.nike/")</f>
      </c>
      <c r="D191" s="2" t="s">
        <v>591</v>
      </c>
      <c r="E191" s="2" t="s">
        <v>546</v>
      </c>
      <c r="F191" s="5" t="s">
        <v>39</v>
      </c>
      <c r="G191" s="2" t="s">
        <v>13</v>
      </c>
      <c r="H191" s="2" t="s">
        <v>592</v>
      </c>
      <c r="I191" s="2" t="s">
        <v>15</v>
      </c>
    </row>
    <row r="192" spans="1:9" s="2" customFormat="1" x14ac:dyDescent="0.25">
      <c r="A192" s="2">
        <v>191</v>
      </c>
      <c r="B192" s="2" t="s">
        <v>593</v>
      </c>
      <c r="C192" s="3">
        <f>HYPERLINK("https://orca.studio", "https://orca.studio")</f>
      </c>
      <c r="D192" s="2" t="s">
        <v>594</v>
      </c>
      <c r="E192" s="2" t="s">
        <v>546</v>
      </c>
      <c r="F192" s="5" t="s">
        <v>39</v>
      </c>
      <c r="G192" s="2" t="s">
        <v>32</v>
      </c>
      <c r="H192" s="2" t="s">
        <v>595</v>
      </c>
      <c r="I192" s="2" t="s">
        <v>15</v>
      </c>
    </row>
    <row r="193" spans="1:9" s="2" customFormat="1" x14ac:dyDescent="0.25">
      <c r="A193" s="2">
        <v>192</v>
      </c>
      <c r="B193" s="2" t="s">
        <v>596</v>
      </c>
      <c r="C193" s="3">
        <f>HYPERLINK("https://www.palaisdetokyo.com", "https://www.palaisdetokyo.com")</f>
      </c>
      <c r="D193" s="2" t="s">
        <v>597</v>
      </c>
      <c r="E193" s="2" t="s">
        <v>546</v>
      </c>
      <c r="F193" s="5" t="s">
        <v>39</v>
      </c>
      <c r="G193" s="2" t="s">
        <v>25</v>
      </c>
      <c r="H193" s="2" t="s">
        <v>598</v>
      </c>
      <c r="I193" s="2" t="s">
        <v>15</v>
      </c>
    </row>
    <row r="194" spans="1:9" s="2" customFormat="1" x14ac:dyDescent="0.25">
      <c r="A194" s="2">
        <v>193</v>
      </c>
      <c r="B194" s="2" t="s">
        <v>599</v>
      </c>
      <c r="C194" s="3">
        <f>HYPERLINK("https://piterpasma.nl/", "https://piterpasma.nl/")</f>
      </c>
      <c r="D194" s="2" t="s">
        <v>600</v>
      </c>
      <c r="E194" s="2" t="s">
        <v>546</v>
      </c>
      <c r="F194" s="5" t="s">
        <v>39</v>
      </c>
      <c r="G194" s="2" t="s">
        <v>13</v>
      </c>
      <c r="H194" s="2" t="s">
        <v>601</v>
      </c>
      <c r="I194" s="2" t="s">
        <v>15</v>
      </c>
    </row>
    <row r="195" spans="1:9" s="2" customFormat="1" x14ac:dyDescent="0.25">
      <c r="A195" s="2">
        <v>194</v>
      </c>
      <c r="B195" s="2" t="s">
        <v>602</v>
      </c>
      <c r="C195" s="3">
        <f>HYPERLINK("https://www.schick-toikka.com", "https://www.schick-toikka.com")</f>
      </c>
      <c r="D195" s="2" t="s">
        <v>603</v>
      </c>
      <c r="E195" s="2" t="s">
        <v>546</v>
      </c>
      <c r="F195" s="5" t="s">
        <v>39</v>
      </c>
      <c r="G195" s="2" t="s">
        <v>25</v>
      </c>
      <c r="H195" s="2" t="s">
        <v>259</v>
      </c>
      <c r="I195" s="2" t="s">
        <v>15</v>
      </c>
    </row>
    <row r="196" spans="1:9" s="2" customFormat="1" x14ac:dyDescent="0.25">
      <c r="A196" s="2">
        <v>195</v>
      </c>
      <c r="B196" s="2" t="s">
        <v>604</v>
      </c>
      <c r="C196" s="3">
        <f>HYPERLINK("https://www.singlethreadfarms.com", "https://www.singlethreadfarms.com")</f>
      </c>
      <c r="D196" s="2" t="s">
        <v>605</v>
      </c>
      <c r="E196" s="2" t="s">
        <v>546</v>
      </c>
      <c r="F196" s="5" t="s">
        <v>39</v>
      </c>
      <c r="G196" s="2" t="s">
        <v>25</v>
      </c>
      <c r="H196" s="2" t="s">
        <v>606</v>
      </c>
      <c r="I196" s="2" t="s">
        <v>15</v>
      </c>
    </row>
    <row r="197" spans="1:9" s="2" customFormat="1" x14ac:dyDescent="0.25">
      <c r="A197" s="2">
        <v>196</v>
      </c>
      <c r="B197" s="2" t="s">
        <v>607</v>
      </c>
      <c r="C197" s="3">
        <f>HYPERLINK("https://www.storymfg.com", "https://www.storymfg.com")</f>
      </c>
      <c r="D197" s="2" t="s">
        <v>608</v>
      </c>
      <c r="E197" s="2" t="s">
        <v>546</v>
      </c>
      <c r="F197" s="5" t="s">
        <v>39</v>
      </c>
      <c r="G197" s="2" t="s">
        <v>25</v>
      </c>
      <c r="H197" s="2" t="s">
        <v>609</v>
      </c>
      <c r="I197" s="2" t="s">
        <v>15</v>
      </c>
    </row>
    <row r="198" spans="1:9" s="2" customFormat="1" x14ac:dyDescent="0.25">
      <c r="A198" s="2">
        <v>197</v>
      </c>
      <c r="B198" s="2" t="s">
        <v>610</v>
      </c>
      <c r="C198" s="3">
        <f>HYPERLINK("https://supabase.com", "https://supabase.com")</f>
      </c>
      <c r="D198" s="2" t="s">
        <v>611</v>
      </c>
      <c r="E198" s="2" t="s">
        <v>546</v>
      </c>
      <c r="F198" s="5" t="s">
        <v>39</v>
      </c>
      <c r="G198" s="2" t="s">
        <v>18</v>
      </c>
      <c r="H198" s="2" t="s">
        <v>612</v>
      </c>
      <c r="I198" s="2" t="s">
        <v>15</v>
      </c>
    </row>
    <row r="199" spans="1:9" s="2" customFormat="1" x14ac:dyDescent="0.25">
      <c r="A199" s="2">
        <v>198</v>
      </c>
      <c r="B199" s="2" t="s">
        <v>613</v>
      </c>
      <c r="C199" s="3">
        <f>HYPERLINK("https://thelineanimation.com/", "https://thelineanimation.com/")</f>
      </c>
      <c r="D199" s="2" t="s">
        <v>614</v>
      </c>
      <c r="E199" s="2" t="s">
        <v>546</v>
      </c>
      <c r="F199" s="5" t="s">
        <v>39</v>
      </c>
      <c r="G199" s="2" t="s">
        <v>13</v>
      </c>
      <c r="H199" s="2" t="s">
        <v>615</v>
      </c>
      <c r="I199" s="2" t="s">
        <v>15</v>
      </c>
    </row>
    <row r="200" spans="1:9" s="2" customFormat="1" x14ac:dyDescent="0.25">
      <c r="A200" s="2">
        <v>199</v>
      </c>
      <c r="B200" s="2" t="s">
        <v>616</v>
      </c>
      <c r="C200" s="3">
        <f>HYPERLINK("https://ueno.co", "https://ueno.co")</f>
      </c>
      <c r="D200" s="2" t="s">
        <v>617</v>
      </c>
      <c r="E200" s="2" t="s">
        <v>546</v>
      </c>
      <c r="F200" s="5" t="s">
        <v>39</v>
      </c>
      <c r="G200" s="2" t="s">
        <v>32</v>
      </c>
      <c r="H200" s="2" t="s">
        <v>618</v>
      </c>
      <c r="I200" s="2" t="s">
        <v>15</v>
      </c>
    </row>
    <row r="201" spans="1:9" s="2" customFormat="1" x14ac:dyDescent="0.25">
      <c r="A201" s="2">
        <v>200</v>
      </c>
      <c r="B201" s="2" t="s">
        <v>619</v>
      </c>
      <c r="C201" s="3">
        <f>HYPERLINK("https://www.anothermag.com", "https://www.anothermag.com")</f>
      </c>
      <c r="D201" s="2" t="s">
        <v>620</v>
      </c>
      <c r="E201" s="2" t="s">
        <v>546</v>
      </c>
      <c r="F201" s="9" t="s">
        <v>49</v>
      </c>
      <c r="G201" s="2" t="s">
        <v>25</v>
      </c>
      <c r="H201" s="2" t="s">
        <v>621</v>
      </c>
      <c r="I201" s="2" t="s">
        <v>15</v>
      </c>
    </row>
    <row r="202" spans="1:9" s="2" customFormat="1" x14ac:dyDescent="0.25">
      <c r="A202" s="2">
        <v>201</v>
      </c>
      <c r="B202" s="2" t="s">
        <v>622</v>
      </c>
      <c r="C202" s="3">
        <f>HYPERLINK("https://www.asadoretxebarri.com", "https://www.asadoretxebarri.com")</f>
      </c>
      <c r="D202" s="2" t="s">
        <v>623</v>
      </c>
      <c r="E202" s="2" t="s">
        <v>546</v>
      </c>
      <c r="F202" s="9" t="s">
        <v>49</v>
      </c>
      <c r="G202" s="2" t="s">
        <v>25</v>
      </c>
      <c r="H202" s="2" t="s">
        <v>624</v>
      </c>
      <c r="I202" s="2" t="s">
        <v>15</v>
      </c>
    </row>
    <row r="203" spans="1:9" s="2" customFormat="1" x14ac:dyDescent="0.25">
      <c r="A203" s="2">
        <v>202</v>
      </c>
      <c r="B203" s="2" t="s">
        <v>625</v>
      </c>
      <c r="C203" s="3">
        <f>HYPERLINK("https://chatgpt.com", "https://chatgpt.com")</f>
      </c>
      <c r="D203" s="2" t="s">
        <v>626</v>
      </c>
      <c r="E203" s="2" t="s">
        <v>546</v>
      </c>
      <c r="F203" s="9" t="s">
        <v>49</v>
      </c>
      <c r="G203" s="2" t="s">
        <v>18</v>
      </c>
      <c r="H203" s="2" t="s">
        <v>627</v>
      </c>
      <c r="I203" s="2" t="s">
        <v>15</v>
      </c>
    </row>
    <row r="204" spans="1:9" s="2" customFormat="1" x14ac:dyDescent="0.25">
      <c r="A204" s="2">
        <v>203</v>
      </c>
      <c r="B204" s="2" t="s">
        <v>628</v>
      </c>
      <c r="C204" s="3">
        <f>HYPERLINK("https://www.restaurantgeranium.dk", "https://www.restaurantgeranium.dk")</f>
      </c>
      <c r="D204" s="2" t="s">
        <v>629</v>
      </c>
      <c r="E204" s="2" t="s">
        <v>546</v>
      </c>
      <c r="F204" s="9" t="s">
        <v>49</v>
      </c>
      <c r="G204" s="2" t="s">
        <v>25</v>
      </c>
      <c r="H204" s="2" t="s">
        <v>143</v>
      </c>
      <c r="I204" s="2" t="s">
        <v>15</v>
      </c>
    </row>
    <row r="205" spans="1:9" s="2" customFormat="1" x14ac:dyDescent="0.25">
      <c r="A205" s="2">
        <v>204</v>
      </c>
      <c r="B205" s="2" t="s">
        <v>630</v>
      </c>
      <c r="C205" s="3">
        <f>HYPERLINK("https://gladeye.com", "https://gladeye.com")</f>
      </c>
      <c r="D205" s="2" t="s">
        <v>631</v>
      </c>
      <c r="E205" s="2" t="s">
        <v>546</v>
      </c>
      <c r="F205" s="9" t="s">
        <v>49</v>
      </c>
      <c r="G205" s="2" t="s">
        <v>32</v>
      </c>
      <c r="H205" s="2" t="s">
        <v>632</v>
      </c>
      <c r="I205" s="2" t="s">
        <v>15</v>
      </c>
    </row>
    <row r="206" spans="1:9" s="2" customFormat="1" x14ac:dyDescent="0.25">
      <c r="A206" s="2">
        <v>205</v>
      </c>
      <c r="B206" s="2" t="s">
        <v>633</v>
      </c>
      <c r="C206" s="3">
        <f>HYPERLINK("https://godly.website/", "https://godly.website/")</f>
      </c>
      <c r="D206" s="2" t="s">
        <v>634</v>
      </c>
      <c r="E206" s="2" t="s">
        <v>546</v>
      </c>
      <c r="F206" s="9" t="s">
        <v>49</v>
      </c>
      <c r="G206" s="2" t="s">
        <v>13</v>
      </c>
      <c r="H206" s="2" t="s">
        <v>635</v>
      </c>
      <c r="I206" s="2" t="s">
        <v>15</v>
      </c>
    </row>
    <row r="207" spans="1:9" s="2" customFormat="1" x14ac:dyDescent="0.25">
      <c r="A207" s="2">
        <v>206</v>
      </c>
      <c r="B207" s="2" t="s">
        <v>636</v>
      </c>
      <c r="C207" s="3">
        <f>HYPERLINK("https://www.newlynltd.com", "https://www.newlynltd.com")</f>
      </c>
      <c r="D207" s="2" t="s">
        <v>637</v>
      </c>
      <c r="E207" s="2" t="s">
        <v>546</v>
      </c>
      <c r="F207" s="9" t="s">
        <v>49</v>
      </c>
      <c r="G207" s="2" t="s">
        <v>25</v>
      </c>
      <c r="H207" s="2" t="s">
        <v>638</v>
      </c>
      <c r="I207" s="2" t="s">
        <v>15</v>
      </c>
    </row>
    <row r="208" spans="1:9" s="2" customFormat="1" x14ac:dyDescent="0.25">
      <c r="A208" s="2">
        <v>207</v>
      </c>
      <c r="B208" s="2" t="s">
        <v>639</v>
      </c>
      <c r="C208" s="3">
        <f>HYPERLINK("https://vercel.com", "https://vercel.com")</f>
      </c>
      <c r="D208" s="2" t="s">
        <v>640</v>
      </c>
      <c r="E208" s="2" t="s">
        <v>641</v>
      </c>
      <c r="F208" s="4" t="s">
        <v>12</v>
      </c>
      <c r="G208" s="2" t="s">
        <v>18</v>
      </c>
      <c r="H208" s="2" t="s">
        <v>642</v>
      </c>
      <c r="I208" s="2" t="s">
        <v>15</v>
      </c>
    </row>
    <row r="209" spans="1:9" s="2" customFormat="1" x14ac:dyDescent="0.25">
      <c r="A209" s="2">
        <v>208</v>
      </c>
      <c r="B209" s="2" t="s">
        <v>643</v>
      </c>
      <c r="C209" s="3">
        <f>HYPERLINK("https://anagrama.studio", "https://anagrama.studio")</f>
      </c>
      <c r="D209" s="2" t="s">
        <v>644</v>
      </c>
      <c r="E209" s="2" t="s">
        <v>641</v>
      </c>
      <c r="F209" s="5" t="s">
        <v>39</v>
      </c>
      <c r="G209" s="2" t="s">
        <v>32</v>
      </c>
      <c r="H209" s="2" t="s">
        <v>645</v>
      </c>
      <c r="I209" s="2" t="s">
        <v>15</v>
      </c>
    </row>
    <row r="210" spans="1:9" s="2" customFormat="1" x14ac:dyDescent="0.25">
      <c r="A210" s="2">
        <v>209</v>
      </c>
      <c r="B210" s="2" t="s">
        <v>646</v>
      </c>
      <c r="C210" s="3">
        <f>HYPERLINK("https://railway.app", "https://railway.app")</f>
      </c>
      <c r="D210" s="2" t="s">
        <v>647</v>
      </c>
      <c r="E210" s="2" t="s">
        <v>641</v>
      </c>
      <c r="F210" s="5" t="s">
        <v>39</v>
      </c>
      <c r="G210" s="2" t="s">
        <v>18</v>
      </c>
      <c r="H210" s="2" t="s">
        <v>648</v>
      </c>
      <c r="I210" s="2" t="s">
        <v>15</v>
      </c>
    </row>
    <row r="211" spans="1:9" s="2" customFormat="1" x14ac:dyDescent="0.25">
      <c r="A211" s="2">
        <v>210</v>
      </c>
      <c r="B211" s="2" t="s">
        <v>649</v>
      </c>
      <c r="C211" s="3">
        <f>HYPERLINK("https://silva.studio", "https://silva.studio")</f>
      </c>
      <c r="D211" s="2" t="s">
        <v>650</v>
      </c>
      <c r="E211" s="2" t="s">
        <v>641</v>
      </c>
      <c r="F211" s="5" t="s">
        <v>39</v>
      </c>
      <c r="G211" s="2" t="s">
        <v>32</v>
      </c>
      <c r="H211" s="2" t="s">
        <v>651</v>
      </c>
      <c r="I211" s="2" t="s">
        <v>15</v>
      </c>
    </row>
    <row r="212" spans="1:9" s="2" customFormat="1" x14ac:dyDescent="0.25">
      <c r="A212" s="2">
        <v>211</v>
      </c>
      <c r="B212" s="2" t="s">
        <v>652</v>
      </c>
      <c r="C212" s="3">
        <f>HYPERLINK("https://superhuman.com", "https://superhuman.com")</f>
      </c>
      <c r="D212" s="2" t="s">
        <v>653</v>
      </c>
      <c r="E212" s="2" t="s">
        <v>641</v>
      </c>
      <c r="F212" s="5" t="s">
        <v>39</v>
      </c>
      <c r="G212" s="2" t="s">
        <v>18</v>
      </c>
      <c r="H212" s="2" t="s">
        <v>654</v>
      </c>
      <c r="I212" s="2" t="s">
        <v>15</v>
      </c>
    </row>
    <row r="213" spans="1:9" s="2" customFormat="1" x14ac:dyDescent="0.25">
      <c r="A213" s="2">
        <v>212</v>
      </c>
      <c r="B213" s="2" t="s">
        <v>655</v>
      </c>
      <c r="C213" s="3">
        <f>HYPERLINK("https://inngest.com", "https://inngest.com")</f>
      </c>
      <c r="D213" s="2" t="s">
        <v>656</v>
      </c>
      <c r="E213" s="2" t="s">
        <v>641</v>
      </c>
      <c r="F213" s="9" t="s">
        <v>49</v>
      </c>
      <c r="G213" s="2" t="s">
        <v>18</v>
      </c>
      <c r="H213" s="2" t="s">
        <v>323</v>
      </c>
      <c r="I213" s="2" t="s">
        <v>15</v>
      </c>
    </row>
    <row r="214" spans="1:9" s="2" customFormat="1" x14ac:dyDescent="0.25">
      <c r="A214" s="2">
        <v>213</v>
      </c>
      <c r="B214" s="2" t="s">
        <v>657</v>
      </c>
      <c r="C214" s="3">
        <f>HYPERLINK("https://midjourney.com", "https://midjourney.com")</f>
      </c>
      <c r="D214" s="2" t="s">
        <v>658</v>
      </c>
      <c r="E214" s="2" t="s">
        <v>641</v>
      </c>
      <c r="F214" s="9" t="s">
        <v>49</v>
      </c>
      <c r="G214" s="2" t="s">
        <v>18</v>
      </c>
      <c r="H214" s="2" t="s">
        <v>417</v>
      </c>
      <c r="I214" s="2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8" style="12" customWidth="1"/>
    <col min="2" max="2" width="14" customWidth="1"/>
  </cols>
  <sheetData>
    <row r="1" spans="1:2" s="13" customFormat="1" x14ac:dyDescent="0.25">
      <c r="A1" s="12" t="s">
        <v>659</v>
      </c>
      <c r="B1" s="13" t="s">
        <v>660</v>
      </c>
    </row>
    <row r="2" spans="1:2" x14ac:dyDescent="0.25">
      <c r="A2" s="12" t="s">
        <v>661</v>
      </c>
      <c r="B2">
        <v>213</v>
      </c>
    </row>
    <row r="3" spans="1:2" x14ac:dyDescent="0.25">
      <c r="A3" s="12" t="s">
        <v>662</v>
      </c>
      <c r="B3">
        <v>15</v>
      </c>
    </row>
    <row r="4" spans="1:2" x14ac:dyDescent="0.25">
      <c r="A4" s="12" t="s">
        <v>663</v>
      </c>
      <c r="B4">
        <v>4</v>
      </c>
    </row>
    <row r="5" spans="1:2" x14ac:dyDescent="0.25">
      <c r="A5" s="12" t="s">
        <v>15</v>
      </c>
      <c r="B5" t="s">
        <v>15</v>
      </c>
    </row>
    <row r="6" spans="1:2" x14ac:dyDescent="0.25">
      <c r="A6" s="12" t="s">
        <v>664</v>
      </c>
      <c r="B6" t="s">
        <v>15</v>
      </c>
    </row>
    <row r="7" spans="1:2" x14ac:dyDescent="0.25">
      <c r="A7" s="12" t="s">
        <v>11</v>
      </c>
      <c r="B7">
        <v>13</v>
      </c>
    </row>
    <row r="8" spans="1:2" x14ac:dyDescent="0.25">
      <c r="A8" s="12" t="s">
        <v>60</v>
      </c>
      <c r="B8">
        <v>19</v>
      </c>
    </row>
    <row r="9" spans="1:2" x14ac:dyDescent="0.25">
      <c r="A9" s="12" t="s">
        <v>118</v>
      </c>
      <c r="B9">
        <v>14</v>
      </c>
    </row>
    <row r="10" spans="1:2" x14ac:dyDescent="0.25">
      <c r="A10" s="12" t="s">
        <v>161</v>
      </c>
      <c r="B10">
        <v>18</v>
      </c>
    </row>
    <row r="11" spans="1:2" x14ac:dyDescent="0.25">
      <c r="A11" s="12" t="s">
        <v>216</v>
      </c>
      <c r="B11">
        <v>29</v>
      </c>
    </row>
    <row r="12" spans="1:2" x14ac:dyDescent="0.25">
      <c r="A12" s="12" t="s">
        <v>304</v>
      </c>
      <c r="B12">
        <v>14</v>
      </c>
    </row>
    <row r="13" spans="1:2" x14ac:dyDescent="0.25">
      <c r="A13" s="12" t="s">
        <v>347</v>
      </c>
      <c r="B13">
        <v>13</v>
      </c>
    </row>
    <row r="14" spans="1:2" x14ac:dyDescent="0.25">
      <c r="A14" s="12" t="s">
        <v>387</v>
      </c>
      <c r="B14">
        <v>17</v>
      </c>
    </row>
    <row r="15" spans="1:2" x14ac:dyDescent="0.25">
      <c r="A15" s="12" t="s">
        <v>437</v>
      </c>
      <c r="B15">
        <v>25</v>
      </c>
    </row>
    <row r="16" spans="1:2" x14ac:dyDescent="0.25">
      <c r="A16" s="12" t="s">
        <v>511</v>
      </c>
      <c r="B16">
        <v>12</v>
      </c>
    </row>
    <row r="17" spans="1:2" x14ac:dyDescent="0.25">
      <c r="A17" s="12" t="s">
        <v>546</v>
      </c>
      <c r="B17">
        <v>32</v>
      </c>
    </row>
    <row r="18" spans="1:2" x14ac:dyDescent="0.25">
      <c r="A18" s="12" t="s">
        <v>641</v>
      </c>
      <c r="B18">
        <v>7</v>
      </c>
    </row>
    <row r="19" spans="1:2" x14ac:dyDescent="0.25">
      <c r="A19" s="12" t="s">
        <v>15</v>
      </c>
      <c r="B19" t="s">
        <v>15</v>
      </c>
    </row>
    <row r="20" spans="1:2" x14ac:dyDescent="0.25">
      <c r="A20" s="12" t="s">
        <v>665</v>
      </c>
      <c r="B20" t="s">
        <v>15</v>
      </c>
    </row>
    <row r="21" spans="1:2" x14ac:dyDescent="0.25">
      <c r="A21" s="12" t="s">
        <v>666</v>
      </c>
      <c r="B21">
        <v>42</v>
      </c>
    </row>
    <row r="22" spans="1:2" x14ac:dyDescent="0.25">
      <c r="A22" s="12" t="s">
        <v>667</v>
      </c>
      <c r="B22">
        <v>127</v>
      </c>
    </row>
    <row r="23" spans="1:2" x14ac:dyDescent="0.25">
      <c r="A23" s="12" t="s">
        <v>668</v>
      </c>
      <c r="B23">
        <v>44</v>
      </c>
    </row>
    <row r="24" spans="1:2" x14ac:dyDescent="0.25">
      <c r="A24" s="12" t="s">
        <v>15</v>
      </c>
      <c r="B24" t="s">
        <v>15</v>
      </c>
    </row>
    <row r="25" spans="1:2" x14ac:dyDescent="0.25">
      <c r="A25" s="12" t="s">
        <v>669</v>
      </c>
      <c r="B25" t="s">
        <v>15</v>
      </c>
    </row>
    <row r="26" spans="1:2" x14ac:dyDescent="0.25">
      <c r="A26" s="12" t="s">
        <v>13</v>
      </c>
      <c r="B26">
        <v>50</v>
      </c>
    </row>
    <row r="27" spans="1:2" x14ac:dyDescent="0.25">
      <c r="A27" s="12" t="s">
        <v>18</v>
      </c>
      <c r="B27">
        <v>50</v>
      </c>
    </row>
    <row r="28" spans="1:2" x14ac:dyDescent="0.25">
      <c r="A28" s="12" t="s">
        <v>25</v>
      </c>
      <c r="B28">
        <v>63</v>
      </c>
    </row>
    <row r="29" spans="1:2" x14ac:dyDescent="0.25">
      <c r="A29" s="12" t="s">
        <v>32</v>
      </c>
      <c r="B29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100" customWidth="1"/>
  </cols>
  <sheetData>
    <row r="1" spans="1:2" s="13" customFormat="1" x14ac:dyDescent="0.25">
      <c r="A1" s="13" t="s">
        <v>670</v>
      </c>
      <c r="B1" s="13" t="s">
        <v>671</v>
      </c>
    </row>
    <row r="2" spans="1:2" x14ac:dyDescent="0.25">
      <c r="A2" t="s">
        <v>672</v>
      </c>
      <c r="B2" t="s">
        <v>673</v>
      </c>
    </row>
    <row r="3" spans="1:2" x14ac:dyDescent="0.25">
      <c r="A3" t="s">
        <v>674</v>
      </c>
      <c r="B3" t="s">
        <v>675</v>
      </c>
    </row>
    <row r="4" spans="1:2" x14ac:dyDescent="0.25">
      <c r="A4" t="s">
        <v>676</v>
      </c>
      <c r="B4" t="s">
        <v>677</v>
      </c>
    </row>
    <row r="5" spans="1:2" x14ac:dyDescent="0.25">
      <c r="A5" t="s">
        <v>678</v>
      </c>
      <c r="B5" t="s">
        <v>679</v>
      </c>
    </row>
    <row r="6" spans="1:2" x14ac:dyDescent="0.25">
      <c r="A6" t="s">
        <v>680</v>
      </c>
      <c r="B6" t="s">
        <v>681</v>
      </c>
    </row>
    <row r="7" spans="1:2" x14ac:dyDescent="0.25">
      <c r="A7" t="s">
        <v>682</v>
      </c>
      <c r="B7" t="s">
        <v>683</v>
      </c>
    </row>
    <row r="8" spans="1:2" x14ac:dyDescent="0.25">
      <c r="A8" t="s">
        <v>684</v>
      </c>
      <c r="B8" t="s">
        <v>685</v>
      </c>
    </row>
    <row r="9" spans="1:2" x14ac:dyDescent="0.25">
      <c r="A9" t="s">
        <v>686</v>
      </c>
      <c r="B9" t="s">
        <v>687</v>
      </c>
    </row>
    <row r="10" spans="1:2" x14ac:dyDescent="0.25">
      <c r="A10" t="s">
        <v>688</v>
      </c>
      <c r="B10" t="s">
        <v>689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Buttons 200</vt:lpstr>
      <vt:lpstr>Summary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Buttons — Specimen Lab</dc:creator>
  <dc:title/>
  <dc:subject/>
  <dc:description/>
  <cp:keywords/>
  <cp:category/>
  <cp:lastModifiedBy>Unknown</cp:lastModifiedBy>
  <dcterms:created xsi:type="dcterms:W3CDTF">2026-08-25T18:23:21Z</dcterms:created>
  <dcterms:modified xsi:type="dcterms:W3CDTF">2026-08-25T18:23:21Z</dcterms:modified>
</cp:coreProperties>
</file>